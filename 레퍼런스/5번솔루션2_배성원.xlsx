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wang\Dropbox\체대남친\"/>
    </mc:Choice>
  </mc:AlternateContent>
  <bookViews>
    <workbookView xWindow="0" yWindow="0" windowWidth="18525" windowHeight="8310"/>
  </bookViews>
  <sheets>
    <sheet name="Sheet1" sheetId="1" r:id="rId1"/>
    <sheet name="Sheet2" sheetId="2" r:id="rId2"/>
  </sheets>
  <calcPr calcId="162913"/>
</workbook>
</file>

<file path=xl/calcChain.xml><?xml version="1.0" encoding="utf-8"?>
<calcChain xmlns="http://schemas.openxmlformats.org/spreadsheetml/2006/main">
  <c r="M31" i="1" l="1"/>
  <c r="M30" i="1"/>
  <c r="G22" i="1"/>
  <c r="I22" i="1" s="1"/>
  <c r="O18" i="1"/>
  <c r="M20" i="2" l="1"/>
  <c r="L18" i="2"/>
  <c r="M12" i="2"/>
  <c r="L12" i="2"/>
  <c r="L6" i="1" l="1"/>
  <c r="I3" i="1"/>
  <c r="F3" i="1"/>
  <c r="K3" i="1" l="1"/>
  <c r="C18" i="1" s="1"/>
  <c r="G18" i="1" s="1"/>
  <c r="J3" i="1"/>
  <c r="G3" i="1"/>
  <c r="F6" i="1" s="1"/>
  <c r="L10" i="1" s="1"/>
  <c r="L20" i="1" l="1"/>
  <c r="N20" i="1" s="1"/>
  <c r="D17" i="1"/>
  <c r="F17" i="1" s="1"/>
  <c r="J12" i="1"/>
  <c r="J9" i="1"/>
  <c r="J11" i="1"/>
  <c r="L12" i="1" s="1"/>
  <c r="J21" i="1" s="1"/>
  <c r="J10" i="1"/>
  <c r="L3" i="1"/>
  <c r="I6" i="1" s="1"/>
  <c r="E28" i="1" l="1"/>
  <c r="E29" i="1" s="1"/>
  <c r="F28" i="1"/>
  <c r="F29" i="1" s="1"/>
  <c r="D28" i="1"/>
  <c r="D29" i="1" s="1"/>
</calcChain>
</file>

<file path=xl/sharedStrings.xml><?xml version="1.0" encoding="utf-8"?>
<sst xmlns="http://schemas.openxmlformats.org/spreadsheetml/2006/main" count="149" uniqueCount="149">
  <si>
    <t xml:space="preserve">기초대사량 = </t>
    <phoneticPr fontId="2" type="noConversion"/>
  </si>
  <si>
    <t>성별</t>
    <phoneticPr fontId="2" type="noConversion"/>
  </si>
  <si>
    <t>나이</t>
    <phoneticPr fontId="2" type="noConversion"/>
  </si>
  <si>
    <t>키</t>
    <phoneticPr fontId="2" type="noConversion"/>
  </si>
  <si>
    <t>몸무게</t>
    <phoneticPr fontId="2" type="noConversion"/>
  </si>
  <si>
    <t>현재 체지방률</t>
    <phoneticPr fontId="2" type="noConversion"/>
  </si>
  <si>
    <t>목표체지방률</t>
    <phoneticPr fontId="2" type="noConversion"/>
  </si>
  <si>
    <t>현재 제지방량</t>
    <phoneticPr fontId="2" type="noConversion"/>
  </si>
  <si>
    <t>레벨 측정</t>
    <phoneticPr fontId="2" type="noConversion"/>
  </si>
  <si>
    <t>일일 섭취 권장 단백질(제지방 1kg당)</t>
    <phoneticPr fontId="2" type="noConversion"/>
  </si>
  <si>
    <t>1.2g</t>
    <phoneticPr fontId="2" type="noConversion"/>
  </si>
  <si>
    <t>체중감소</t>
    <phoneticPr fontId="2" type="noConversion"/>
  </si>
  <si>
    <t>근육은 늘리고 체중은 줄이고</t>
    <phoneticPr fontId="2" type="noConversion"/>
  </si>
  <si>
    <t>1.6g</t>
    <phoneticPr fontId="2" type="noConversion"/>
  </si>
  <si>
    <t>2g</t>
    <phoneticPr fontId="2" type="noConversion"/>
  </si>
  <si>
    <t>근육 증진</t>
    <phoneticPr fontId="2" type="noConversion"/>
  </si>
  <si>
    <t>350+21.6*제지방량+7*체지방량</t>
    <phoneticPr fontId="2" type="noConversion"/>
  </si>
  <si>
    <t>현재기초대사량</t>
    <phoneticPr fontId="2" type="noConversion"/>
  </si>
  <si>
    <t>목표 기초대사량</t>
    <phoneticPr fontId="2" type="noConversion"/>
  </si>
  <si>
    <t>탄수화물</t>
    <phoneticPr fontId="2" type="noConversion"/>
  </si>
  <si>
    <t>단백질</t>
    <phoneticPr fontId="2" type="noConversion"/>
  </si>
  <si>
    <t>지방</t>
    <phoneticPr fontId="2" type="noConversion"/>
  </si>
  <si>
    <t>의 비율</t>
    <phoneticPr fontId="2" type="noConversion"/>
  </si>
  <si>
    <t>MET(Metabloic Equivalent of Task)사용.</t>
    <phoneticPr fontId="2" type="noConversion"/>
  </si>
  <si>
    <t>운동으로 소모한 칼로리 = 1.05*METs(운동강도) * W(몸무게) * hr(운동시간 분)</t>
    <phoneticPr fontId="2" type="noConversion"/>
  </si>
  <si>
    <t>일주일에 500~1000 MET-minute 추천.</t>
    <phoneticPr fontId="2" type="noConversion"/>
  </si>
  <si>
    <t>안정시 산소섭취량. 체중 1kg당 1분에 3.5ml의 산소 섭취. 산소1L당 에너지 생산량은 약 5kcal</t>
    <phoneticPr fontId="2" type="noConversion"/>
  </si>
  <si>
    <t>1분간 소비되는 단위체중당 에너지 소비량</t>
    <phoneticPr fontId="2" type="noConversion"/>
  </si>
  <si>
    <t>1MET = 3.5kcal/kg/min</t>
    <phoneticPr fontId="2" type="noConversion"/>
  </si>
  <si>
    <t>MET</t>
    <phoneticPr fontId="2" type="noConversion"/>
  </si>
  <si>
    <t>신체 활동</t>
    <phoneticPr fontId="2" type="noConversion"/>
  </si>
  <si>
    <t>TV보기</t>
    <phoneticPr fontId="2" type="noConversion"/>
  </si>
  <si>
    <t>글쓰기, 컴퓨터 작업</t>
    <phoneticPr fontId="2" type="noConversion"/>
  </si>
  <si>
    <t>5.5km/h속도로 걷기</t>
    <phoneticPr fontId="2" type="noConversion"/>
  </si>
  <si>
    <t>몸쓰는 놀이, 자전거 16km/h이하, 아이와 놀아주기</t>
    <phoneticPr fontId="2" type="noConversion"/>
  </si>
  <si>
    <t>자전거 20km/h, 보통여자들의 웨이트트레이닝, 수영수업</t>
    <phoneticPr fontId="2" type="noConversion"/>
  </si>
  <si>
    <t>체육인의 강제적인 훈련</t>
    <phoneticPr fontId="2" type="noConversion"/>
  </si>
  <si>
    <t>옆사람과 얘기하면서 달릴수 없을 정도의 조깅, 등산</t>
    <phoneticPr fontId="2" type="noConversion"/>
  </si>
  <si>
    <t>4.5km/h속도로 걷기, 골프연습</t>
    <phoneticPr fontId="2" type="noConversion"/>
  </si>
  <si>
    <t>집에서 맨몸 스트레칭, 집안 청소</t>
    <phoneticPr fontId="2" type="noConversion"/>
  </si>
  <si>
    <t>2.7km/h속도로 걷기, 서있는 직업</t>
    <phoneticPr fontId="2" type="noConversion"/>
  </si>
  <si>
    <t>12km/h정도의 달리기, 고강도 웨이트 트레이닝, 이겨야하는 체육시합</t>
    <phoneticPr fontId="2" type="noConversion"/>
  </si>
  <si>
    <t>평소의 운동강도와 운동시간을 선택해주세요. 누적하는 겁니다. 예를들어 사무직 근무 10시간 + 홈트레이닝 30분. 먼저 운동강도부터 선택하겠습니다.</t>
    <phoneticPr fontId="2" type="noConversion"/>
  </si>
  <si>
    <t>스쿼트, 푸쉬업, 턱걸이 정도의 맨몸운동, 10km/h정도의 달리기, 뺑뺑이 도는 자유수영</t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</si>
  <si>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10분당</t>
    </r>
    <r>
      <rPr>
        <sz val="11"/>
        <color theme="1"/>
        <rFont val="맑은 고딕"/>
        <family val="2"/>
        <charset val="129"/>
        <scheme val="minor"/>
      </rPr>
      <t xml:space="preserve"> 쓰는 칼로리</t>
    </r>
    <phoneticPr fontId="2" type="noConversion"/>
  </si>
  <si>
    <t>100번</t>
    <phoneticPr fontId="2" type="noConversion"/>
  </si>
  <si>
    <t>1시간씩이면 16번.</t>
    <phoneticPr fontId="2" type="noConversion"/>
  </si>
  <si>
    <t>브론즈</t>
    <phoneticPr fontId="2" type="noConversion"/>
  </si>
  <si>
    <t>골드</t>
    <phoneticPr fontId="2" type="noConversion"/>
  </si>
  <si>
    <t>플래티넘</t>
    <phoneticPr fontId="2" type="noConversion"/>
  </si>
  <si>
    <t>스쿼트(하체)</t>
    <phoneticPr fontId="2" type="noConversion"/>
  </si>
  <si>
    <t>니푸쉬업(상체)</t>
    <phoneticPr fontId="2" type="noConversion"/>
  </si>
  <si>
    <t>플랭크(코어)</t>
    <phoneticPr fontId="2" type="noConversion"/>
  </si>
  <si>
    <t>버핏(심폐)</t>
    <phoneticPr fontId="2" type="noConversion"/>
  </si>
  <si>
    <t>기구없이 집에서 맨몸으로 측정할 수 있는것으로 구성.</t>
    <phoneticPr fontId="2" type="noConversion"/>
  </si>
  <si>
    <t>몸무게, 키, 근육량등에 상관없는 절대평가.</t>
    <phoneticPr fontId="2" type="noConversion"/>
  </si>
  <si>
    <t>다이아몬드</t>
    <phoneticPr fontId="2" type="noConversion"/>
  </si>
  <si>
    <t>노랭크</t>
    <phoneticPr fontId="2" type="noConversion"/>
  </si>
  <si>
    <t>+10</t>
    <phoneticPr fontId="2" type="noConversion"/>
  </si>
  <si>
    <t>+5</t>
  </si>
  <si>
    <t>+20</t>
    <phoneticPr fontId="2" type="noConversion"/>
  </si>
  <si>
    <t>+4</t>
    <phoneticPr fontId="2" type="noConversion"/>
  </si>
  <si>
    <t>변동량</t>
    <phoneticPr fontId="2" type="noConversion"/>
  </si>
  <si>
    <t>현실적</t>
    <phoneticPr fontId="2" type="noConversion"/>
  </si>
  <si>
    <t>이상적</t>
    <phoneticPr fontId="2" type="noConversion"/>
  </si>
  <si>
    <t xml:space="preserve">원래 미국인 </t>
    <phoneticPr fontId="2" type="noConversion"/>
  </si>
  <si>
    <t>원래 한국인</t>
    <phoneticPr fontId="2" type="noConversion"/>
  </si>
  <si>
    <t>&lt;식습관&gt;</t>
    <phoneticPr fontId="2" type="noConversion"/>
  </si>
  <si>
    <t>비타민, 무기질 등을 충분히 섭취하여야 합니다. 여의치 않으면 종합 비타민이라도 챙겨드셔야 합니다.</t>
    <phoneticPr fontId="2" type="noConversion"/>
  </si>
  <si>
    <t>여기에 흡수율을 고려해야한다.</t>
    <phoneticPr fontId="2" type="noConversion"/>
  </si>
  <si>
    <t>회원가입 설명단에서 여성들의 생활환경에 맞는 설문들로 추정해서 활동대사량 제시.</t>
    <phoneticPr fontId="2" type="noConversion"/>
  </si>
  <si>
    <t>현재 체지방량</t>
    <phoneticPr fontId="2" type="noConversion"/>
  </si>
  <si>
    <t>목표 체지방량</t>
    <phoneticPr fontId="2" type="noConversion"/>
  </si>
  <si>
    <t>목표체중</t>
    <phoneticPr fontId="2" type="noConversion"/>
  </si>
  <si>
    <t>감소시킬 지방량</t>
    <phoneticPr fontId="2" type="noConversion"/>
  </si>
  <si>
    <t>이상적 제지방량</t>
    <phoneticPr fontId="2" type="noConversion"/>
  </si>
  <si>
    <t>활동대사량</t>
    <phoneticPr fontId="2" type="noConversion"/>
  </si>
  <si>
    <t xml:space="preserve"> 활동이 적거나 운동을 안할 경우 - </t>
    <phoneticPr fontId="2" type="noConversion"/>
  </si>
  <si>
    <t>기초대사량 x 0.2 kcal</t>
  </si>
  <si>
    <t>가벼운 활동 및 운동 (대략 1-3일/주 운동) - </t>
    <phoneticPr fontId="2" type="noConversion"/>
  </si>
  <si>
    <t>기초대사량 x 0.375 kcal</t>
  </si>
  <si>
    <t>보통의 활동 및 운동 (대략 3-5일/주 운동) - </t>
    <phoneticPr fontId="2" type="noConversion"/>
  </si>
  <si>
    <t>기초대사량 x 0.555 kcal</t>
  </si>
  <si>
    <t> 적극적인 활동 및 운동(대략 6-7일/주 운동) - </t>
    <phoneticPr fontId="2" type="noConversion"/>
  </si>
  <si>
    <t>기초대사량 x 0.725 kcal</t>
  </si>
  <si>
    <t>한달에 순수체지방 2kg</t>
    <phoneticPr fontId="2" type="noConversion"/>
  </si>
  <si>
    <t>한달에 칼로리</t>
    <phoneticPr fontId="2" type="noConversion"/>
  </si>
  <si>
    <t>하루칼로리</t>
    <phoneticPr fontId="2" type="noConversion"/>
  </si>
  <si>
    <t>기초대사량+활동대사량-480kcal</t>
    <phoneticPr fontId="2" type="noConversion"/>
  </si>
  <si>
    <t>체지방1kg에 7200kcal</t>
    <phoneticPr fontId="2" type="noConversion"/>
  </si>
  <si>
    <t>물을 많이 마시는것이 좋습니다. 목마를때 마시면 이미 늦습니다. 수시로 마셔주세요.</t>
    <phoneticPr fontId="2" type="noConversion"/>
  </si>
  <si>
    <t xml:space="preserve">한번에 많이 먹는것보다 자주 나눠서 먹는것이 좋습니다. </t>
    <phoneticPr fontId="2" type="noConversion"/>
  </si>
  <si>
    <t>실버</t>
    <phoneticPr fontId="2" type="noConversion"/>
  </si>
  <si>
    <t>어느정도 양일때 기쁜마음으로 따라오는지 데이터 모으고 수정</t>
    <phoneticPr fontId="2" type="noConversion"/>
  </si>
  <si>
    <t>체중이 중요한것이 아니라 체지방량이 중요한것이기 때문에 유저는 목표 체중을 설정하는것이 아니라 체지방량을 선택한다.</t>
    <phoneticPr fontId="2" type="noConversion"/>
  </si>
  <si>
    <t>제지방량은 유지하는것을 목표로 한다. 근육량은 늘리고 체지방은 빼는것이 온라인 피트니스 코칭으로는 매우 어렵기 때문, 근육량은 유지하며 체지방은 빼는것을 권한다.</t>
    <phoneticPr fontId="2" type="noConversion"/>
  </si>
  <si>
    <t>목표 체지방률은 인바디 그림(사진 또는 일러스트)를 보고 선택한다.</t>
    <phoneticPr fontId="2" type="noConversion"/>
  </si>
  <si>
    <t>노란색 류</t>
  </si>
  <si>
    <t>알고리즘으로 나오는것</t>
    <phoneticPr fontId="2" type="noConversion"/>
  </si>
  <si>
    <t xml:space="preserve"> 파란색류</t>
  </si>
  <si>
    <t>생활대사량+운동대사량</t>
  </si>
  <si>
    <t>활동대사량 =</t>
    <phoneticPr fontId="2" type="noConversion"/>
  </si>
  <si>
    <t>현조식</t>
    <phoneticPr fontId="2" type="noConversion"/>
  </si>
  <si>
    <t>권장섭취량 =</t>
    <phoneticPr fontId="2" type="noConversion"/>
  </si>
  <si>
    <t>이까지는 인바디 수치와 목표 체지방률만 있으면 구할수 있고 이 밑은 '목표 기한'이 있어야 한다. 그러면 우리는 목표 기한에 알맞은 적정 체중감량 속도를 제공해준다.</t>
    <phoneticPr fontId="2" type="noConversion"/>
  </si>
  <si>
    <t>일수로 변경</t>
    <phoneticPr fontId="2" type="noConversion"/>
  </si>
  <si>
    <t>언제 시작할건가?(달력에서 선택)</t>
    <phoneticPr fontId="2" type="noConversion"/>
  </si>
  <si>
    <t>언제까지 할건가?(달력에서 선택)</t>
    <phoneticPr fontId="2" type="noConversion"/>
  </si>
  <si>
    <t>추천은 되나 유저가 바꿀수 있는것 (적어놓은게 추천)</t>
    <phoneticPr fontId="2" type="noConversion"/>
  </si>
  <si>
    <t>한달에 순수 체지방 2kg 빼기. 체지방 1kg빼는데 7200kcal를 더 써야하므로 한달에 14400kcal</t>
    <phoneticPr fontId="2" type="noConversion"/>
  </si>
  <si>
    <t>여기에서 운동하면 운동한만큼 빠지는데 운동초보들은 그 양이 미미해서 생활대사량으로 심플하게 구성</t>
    <phoneticPr fontId="2" type="noConversion"/>
  </si>
  <si>
    <t>생활대사량</t>
    <phoneticPr fontId="2" type="noConversion"/>
  </si>
  <si>
    <t>유저가 쳐넣거나 선택</t>
    <phoneticPr fontId="2" type="noConversion"/>
  </si>
  <si>
    <t>이렇게 먹으면 체중이 유지됩니다.</t>
    <phoneticPr fontId="2" type="noConversion"/>
  </si>
  <si>
    <t>총 빼야하는 칼로리</t>
    <phoneticPr fontId="2" type="noConversion"/>
  </si>
  <si>
    <t>하루면</t>
    <phoneticPr fontId="2" type="noConversion"/>
  </si>
  <si>
    <t>하루에 뺄 칼로리</t>
    <phoneticPr fontId="2" type="noConversion"/>
  </si>
  <si>
    <t>체중유지 칼로리</t>
    <phoneticPr fontId="2" type="noConversion"/>
  </si>
  <si>
    <t>하지만!! 차근히 감량이 이루어지고 있다면 체중유지 칼로리가 점점 낮아진다. 때문에 몸이 좀 변하면 다시 목표 셋팅을 하는것이 좋다. 처음셋팅의 80%의 기간 예상.</t>
    <phoneticPr fontId="2" type="noConversion"/>
  </si>
  <si>
    <t>추천하는 기간(일)</t>
    <phoneticPr fontId="2" type="noConversion"/>
  </si>
  <si>
    <t>그래서 최종 추천 일수</t>
    <phoneticPr fontId="2" type="noConversion"/>
  </si>
  <si>
    <t>달</t>
    <phoneticPr fontId="2" type="noConversion"/>
  </si>
  <si>
    <t>일</t>
    <phoneticPr fontId="2" type="noConversion"/>
  </si>
  <si>
    <t>(한달에 순수 체지방 2kg빼는 것)</t>
    <phoneticPr fontId="2" type="noConversion"/>
  </si>
  <si>
    <t>기초대사량의 1.2배정도될거다.</t>
    <phoneticPr fontId="2" type="noConversion"/>
  </si>
  <si>
    <t>&lt;목표 설정&gt;</t>
    <phoneticPr fontId="2" type="noConversion"/>
  </si>
  <si>
    <t>&lt;목표에 따른 권장 섭취량&gt;</t>
    <phoneticPr fontId="2" type="noConversion"/>
  </si>
  <si>
    <t>권장 섭취 영양소</t>
    <phoneticPr fontId="2" type="noConversion"/>
  </si>
  <si>
    <t>탄수화물</t>
    <phoneticPr fontId="2" type="noConversion"/>
  </si>
  <si>
    <t>단백질</t>
    <phoneticPr fontId="2" type="noConversion"/>
  </si>
  <si>
    <t>지방</t>
    <phoneticPr fontId="2" type="noConversion"/>
  </si>
  <si>
    <t>비율</t>
    <phoneticPr fontId="2" type="noConversion"/>
  </si>
  <si>
    <t>선택한것</t>
    <phoneticPr fontId="2" type="noConversion"/>
  </si>
  <si>
    <t>개발할때 프론트단에서는 체지방률 0.35가 아니라 35%로 유저가 넣도록 해야함.</t>
    <phoneticPr fontId="2" type="noConversion"/>
  </si>
  <si>
    <t>개발할때 선택한것이 3,4,5,6이 아니라 적절한 변수 설정</t>
    <phoneticPr fontId="2" type="noConversion"/>
  </si>
  <si>
    <t>칼로리</t>
    <phoneticPr fontId="2" type="noConversion"/>
  </si>
  <si>
    <t>그람(g)</t>
    <phoneticPr fontId="2" type="noConversion"/>
  </si>
  <si>
    <t>장희정정도</t>
    <phoneticPr fontId="2" type="noConversion"/>
  </si>
  <si>
    <t>체중의 1.3g 단백질</t>
    <phoneticPr fontId="2" type="noConversion"/>
  </si>
  <si>
    <t>체중의 2g 단백질</t>
    <phoneticPr fontId="2" type="noConversion"/>
  </si>
  <si>
    <t>이건 잘 모름. 누구도 잘 모를거임.</t>
    <phoneticPr fontId="2" type="noConversion"/>
  </si>
  <si>
    <t>비율 가이드라인 보다 우리로 인해서 저대로 먹을수 있게끔 하는게 포인트</t>
    <phoneticPr fontId="2" type="noConversion"/>
  </si>
  <si>
    <t xml:space="preserve">가이드라인대로 했을때 내 몸의 변화를 보고 </t>
    <phoneticPr fontId="2" type="noConversion"/>
  </si>
  <si>
    <t>아, 나는 이렇게 먹었을때 이렇게 변하는구나를 인지하도록</t>
    <phoneticPr fontId="2" type="noConversion"/>
  </si>
  <si>
    <t>이것이상 빼봤자 지방이 아니라 수분이 빠진것임을 말하기</t>
    <phoneticPr fontId="2" type="noConversion"/>
  </si>
  <si>
    <t>초록색류</t>
    <phoneticPr fontId="2" type="noConversion"/>
  </si>
  <si>
    <t>남자</t>
    <phoneticPr fontId="2" type="noConversion"/>
  </si>
  <si>
    <t>한수정정도</t>
    <phoneticPr fontId="2" type="noConversion"/>
  </si>
  <si>
    <t>배성원정도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</si>
</sst>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18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sz val="11"/>
      <color theme="1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4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  <xf numFmtId="0" fontId="6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quotePrefix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right" vertical="center"/>
    </xf>
    <xf numFmtId="0" fontId="7" fillId="4" borderId="0" xfId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0" xfId="0" applyFill="1">
      <alignment vertical="center"/>
    </xf>
    <xf numFmtId="0" fontId="10" fillId="0" borderId="0" xfId="0" applyFont="1" applyFill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4" xfId="0" applyFill="1" applyBorder="1">
      <alignment vertical="center"/>
    </xf>
    <xf numFmtId="0" fontId="0" fillId="0" borderId="7" xfId="0" applyBorder="1">
      <alignment vertical="center"/>
    </xf>
    <xf numFmtId="0" fontId="12" fillId="5" borderId="0" xfId="0" applyFont="1" applyFill="1">
      <alignment vertical="center"/>
    </xf>
    <xf numFmtId="0" fontId="11" fillId="2" borderId="5" xfId="0" applyFont="1" applyFill="1" applyBorder="1" applyAlignment="1">
      <alignment horizontal="right" vertical="center"/>
    </xf>
    <xf numFmtId="0" fontId="11" fillId="2" borderId="6" xfId="0" applyFont="1" applyFill="1" applyBorder="1" applyAlignment="1">
      <alignment horizontal="right" vertical="center"/>
    </xf>
    <xf numFmtId="0" fontId="11" fillId="5" borderId="6" xfId="0" applyFont="1" applyFill="1" applyBorder="1" applyAlignment="1">
      <alignment horizontal="right" vertical="center"/>
    </xf>
    <xf numFmtId="0" fontId="11" fillId="5" borderId="8" xfId="0" applyFont="1" applyFill="1" applyBorder="1" applyAlignment="1">
      <alignment horizontal="right" vertical="center"/>
    </xf>
    <xf numFmtId="0" fontId="9" fillId="0" borderId="0" xfId="0" applyFont="1">
      <alignment vertical="center"/>
    </xf>
    <xf numFmtId="0" fontId="12" fillId="0" borderId="0" xfId="0" applyFont="1" applyFill="1">
      <alignment vertical="center"/>
    </xf>
    <xf numFmtId="0" fontId="13" fillId="0" borderId="0" xfId="0" applyFont="1">
      <alignment vertical="center"/>
    </xf>
    <xf numFmtId="0" fontId="13" fillId="0" borderId="0" xfId="0" applyFont="1" applyFill="1">
      <alignment vertical="center"/>
    </xf>
    <xf numFmtId="0" fontId="8" fillId="7" borderId="0" xfId="0" applyFont="1" applyFill="1">
      <alignment vertical="center"/>
    </xf>
    <xf numFmtId="0" fontId="0" fillId="8" borderId="0" xfId="0" applyFill="1">
      <alignment vertical="center"/>
    </xf>
    <xf numFmtId="0" fontId="8" fillId="8" borderId="0" xfId="0" applyFont="1" applyFill="1">
      <alignment vertical="center"/>
    </xf>
    <xf numFmtId="0" fontId="12" fillId="0" borderId="0" xfId="0" applyFont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4" fillId="0" borderId="0" xfId="0" applyFont="1" applyFill="1">
      <alignment vertical="center"/>
    </xf>
    <xf numFmtId="0" fontId="5" fillId="0" borderId="0" xfId="0" applyFont="1">
      <alignment vertical="center"/>
    </xf>
    <xf numFmtId="0" fontId="0" fillId="9" borderId="0" xfId="0" applyFill="1">
      <alignment vertical="center"/>
    </xf>
    <xf numFmtId="14" fontId="0" fillId="2" borderId="0" xfId="0" applyNumberFormat="1" applyFill="1">
      <alignment vertical="center"/>
    </xf>
    <xf numFmtId="14" fontId="0" fillId="6" borderId="0" xfId="0" applyNumberFormat="1" applyFill="1">
      <alignment vertical="center"/>
    </xf>
    <xf numFmtId="0" fontId="0" fillId="0" borderId="10" xfId="0" applyBorder="1">
      <alignment vertical="center"/>
    </xf>
    <xf numFmtId="0" fontId="0" fillId="5" borderId="10" xfId="0" applyFill="1" applyBorder="1">
      <alignment vertical="center"/>
    </xf>
    <xf numFmtId="1" fontId="0" fillId="5" borderId="10" xfId="0" applyNumberFormat="1" applyFill="1" applyBorder="1">
      <alignment vertical="center"/>
    </xf>
    <xf numFmtId="9" fontId="11" fillId="6" borderId="6" xfId="2" applyFont="1" applyFill="1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176" fontId="11" fillId="2" borderId="6" xfId="2" applyNumberFormat="1" applyFont="1" applyFill="1" applyBorder="1" applyAlignment="1">
      <alignment horizontal="right" vertical="center"/>
    </xf>
  </cellXfs>
  <cellStyles count="3">
    <cellStyle name="백분율" xfId="2" builtinId="5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Radio" firstButton="1" fmlaLink="$E$1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104775</xdr:colOff>
          <xdr:row>8</xdr:row>
          <xdr:rowOff>47625</xdr:rowOff>
        </xdr:from>
        <xdr:to>
          <xdr:col>1</xdr:col>
          <xdr:colOff>666750</xdr:colOff>
          <xdr:row>9</xdr:row>
          <xdr:rowOff>19050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옵션 단추 14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104775</xdr:colOff>
          <xdr:row>9</xdr:row>
          <xdr:rowOff>19050</xdr:rowOff>
        </xdr:from>
        <xdr:to>
          <xdr:col>1</xdr:col>
          <xdr:colOff>666750</xdr:colOff>
          <xdr:row>10</xdr:row>
          <xdr:rowOff>0</xdr:rowOff>
        </xdr:to>
        <xdr:sp macro="" textlink="">
          <xdr:nvSpPr>
            <xdr:cNvPr id="1045" name="Option Button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옵션 단추 14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104775</xdr:colOff>
          <xdr:row>10</xdr:row>
          <xdr:rowOff>57150</xdr:rowOff>
        </xdr:from>
        <xdr:to>
          <xdr:col>1</xdr:col>
          <xdr:colOff>666750</xdr:colOff>
          <xdr:row>10</xdr:row>
          <xdr:rowOff>247650</xdr:rowOff>
        </xdr:to>
        <xdr:sp macro="" textlink="">
          <xdr:nvSpPr>
            <xdr:cNvPr id="1046" name="Option Button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옵션 단추 14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104775</xdr:colOff>
          <xdr:row>11</xdr:row>
          <xdr:rowOff>47625</xdr:rowOff>
        </xdr:from>
        <xdr:to>
          <xdr:col>1</xdr:col>
          <xdr:colOff>666750</xdr:colOff>
          <xdr:row>11</xdr:row>
          <xdr:rowOff>247650</xdr:rowOff>
        </xdr:to>
        <xdr:sp macro="" textlink="">
          <xdr:nvSpPr>
            <xdr:cNvPr id="1047" name="Option Button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옵션 단추 14</a:t>
              </a:r>
            </a:p>
          </xdr:txBody>
        </xdr:sp>
        <xdr:clientData/>
      </xdr:twoCellAnchor>
    </mc:Choice>
    <mc:Fallback/>
  </mc:AlternateContent>
  <xdr:twoCellAnchor editAs="oneCell">
    <xdr:from>
      <xdr:col>14</xdr:col>
      <xdr:colOff>0</xdr:colOff>
      <xdr:row>27</xdr:row>
      <xdr:rowOff>53340</xdr:rowOff>
    </xdr:from>
    <xdr:to>
      <xdr:col>23</xdr:col>
      <xdr:colOff>31006</xdr:colOff>
      <xdr:row>42</xdr:row>
      <xdr:rowOff>162222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94180" y="6347460"/>
          <a:ext cx="6066046" cy="3421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O57"/>
  <sheetViews>
    <sheetView tabSelected="1" workbookViewId="0">
      <selection activeCell="M16" sqref="M16"/>
    </sheetView>
  </sheetViews>
  <sheetFormatPr defaultRowHeight="16.5"/>
  <cols>
    <col min="1" max="1" width="9.625" bestFit="1" customWidth="1"/>
    <col min="2" max="2" width="11.125" bestFit="1" customWidth="1"/>
    <col min="3" max="3" width="20" customWidth="1"/>
    <col min="4" max="4" width="15.75" customWidth="1"/>
    <col min="5" max="5" width="17" customWidth="1"/>
    <col min="6" max="6" width="13.75" bestFit="1" customWidth="1"/>
    <col min="7" max="7" width="15.25" customWidth="1"/>
    <col min="8" max="8" width="13.75" customWidth="1"/>
    <col min="9" max="9" width="13.75" bestFit="1" customWidth="1"/>
    <col min="11" max="11" width="15.375" customWidth="1"/>
    <col min="12" max="12" width="17.625" customWidth="1"/>
  </cols>
  <sheetData>
    <row r="1" spans="1:15" s="12" customFormat="1" ht="17.25" thickBot="1">
      <c r="A1" s="49" t="s">
        <v>112</v>
      </c>
      <c r="B1" s="49"/>
      <c r="C1" s="7" t="s">
        <v>97</v>
      </c>
      <c r="D1" s="49" t="s">
        <v>98</v>
      </c>
      <c r="E1" s="49"/>
      <c r="F1" s="16" t="s">
        <v>99</v>
      </c>
      <c r="H1" s="49" t="s">
        <v>108</v>
      </c>
      <c r="I1" s="49"/>
      <c r="J1" s="49"/>
      <c r="K1" s="49"/>
      <c r="L1" s="17" t="s">
        <v>145</v>
      </c>
    </row>
    <row r="2" spans="1:15" ht="17.25" thickTop="1">
      <c r="A2" s="20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2" t="s">
        <v>71</v>
      </c>
      <c r="G2" s="21" t="s">
        <v>7</v>
      </c>
      <c r="H2" s="21" t="s">
        <v>6</v>
      </c>
      <c r="I2" s="22" t="s">
        <v>72</v>
      </c>
      <c r="J2" s="22" t="s">
        <v>73</v>
      </c>
      <c r="K2" s="22" t="s">
        <v>74</v>
      </c>
      <c r="L2" s="23" t="s">
        <v>75</v>
      </c>
      <c r="O2" s="10" t="s">
        <v>94</v>
      </c>
    </row>
    <row r="3" spans="1:15" ht="18" thickBot="1">
      <c r="A3" s="25" t="s">
        <v>146</v>
      </c>
      <c r="B3" s="26">
        <v>31</v>
      </c>
      <c r="C3" s="26">
        <v>177</v>
      </c>
      <c r="D3" s="26">
        <v>74.900000000000006</v>
      </c>
      <c r="E3" s="51">
        <v>0.17899999999999999</v>
      </c>
      <c r="F3" s="27">
        <f>D3*E3</f>
        <v>13.4071</v>
      </c>
      <c r="G3" s="27">
        <f>D3-(D3*E3)</f>
        <v>61.492900000000006</v>
      </c>
      <c r="H3" s="48">
        <v>0.15</v>
      </c>
      <c r="I3" s="27">
        <f>D3*H3</f>
        <v>11.235000000000001</v>
      </c>
      <c r="J3" s="27">
        <f>D3-(F3-I3)</f>
        <v>72.727900000000005</v>
      </c>
      <c r="K3" s="27">
        <f>F3-I3</f>
        <v>2.1720999999999986</v>
      </c>
      <c r="L3" s="28">
        <f>J3-I3</f>
        <v>61.492900000000006</v>
      </c>
      <c r="O3" s="10" t="s">
        <v>95</v>
      </c>
    </row>
    <row r="4" spans="1:15" ht="17.25" thickTop="1">
      <c r="O4" s="10" t="s">
        <v>96</v>
      </c>
    </row>
    <row r="6" spans="1:15" ht="20.25">
      <c r="A6" s="19" t="s">
        <v>0</v>
      </c>
      <c r="C6" s="31" t="s">
        <v>16</v>
      </c>
      <c r="E6" t="s">
        <v>17</v>
      </c>
      <c r="F6" s="24">
        <f>350+21.6*G3+7*(D3*E3)</f>
        <v>1772.0963400000003</v>
      </c>
      <c r="H6" t="s">
        <v>18</v>
      </c>
      <c r="I6" s="24">
        <f>350+21.6*L3+7*I3</f>
        <v>1756.8916400000003</v>
      </c>
      <c r="K6" t="s">
        <v>102</v>
      </c>
      <c r="L6" s="24">
        <f>480/0.35</f>
        <v>1371.4285714285716</v>
      </c>
      <c r="N6" s="10" t="s">
        <v>69</v>
      </c>
    </row>
    <row r="7" spans="1:15" s="12" customFormat="1" ht="20.25">
      <c r="A7" s="19"/>
      <c r="C7" s="31"/>
      <c r="F7"/>
      <c r="G7"/>
      <c r="H7"/>
      <c r="I7"/>
      <c r="J7"/>
      <c r="K7"/>
      <c r="L7"/>
      <c r="N7" s="10"/>
    </row>
    <row r="8" spans="1:15" ht="20.25">
      <c r="A8" s="19" t="s">
        <v>101</v>
      </c>
      <c r="C8" s="32" t="s">
        <v>100</v>
      </c>
      <c r="E8" s="29" t="s">
        <v>110</v>
      </c>
      <c r="J8" s="11"/>
      <c r="N8" s="10"/>
      <c r="O8" t="s">
        <v>133</v>
      </c>
    </row>
    <row r="9" spans="1:15">
      <c r="B9" s="42"/>
      <c r="C9" s="7" t="s">
        <v>77</v>
      </c>
      <c r="D9" s="7"/>
      <c r="E9" s="50" t="s">
        <v>132</v>
      </c>
      <c r="F9" s="12" t="s">
        <v>78</v>
      </c>
      <c r="H9" s="12">
        <v>0.2</v>
      </c>
      <c r="I9" s="12" t="s">
        <v>76</v>
      </c>
      <c r="J9" s="16">
        <f>$F$6*H9</f>
        <v>354.4192680000001</v>
      </c>
      <c r="L9" t="s">
        <v>111</v>
      </c>
      <c r="N9" s="10"/>
    </row>
    <row r="10" spans="1:15">
      <c r="A10" t="s">
        <v>137</v>
      </c>
      <c r="B10" s="42"/>
      <c r="C10" s="7" t="s">
        <v>79</v>
      </c>
      <c r="D10" s="7"/>
      <c r="E10" s="50"/>
      <c r="F10" s="12" t="s">
        <v>80</v>
      </c>
      <c r="H10" s="12">
        <v>0.375</v>
      </c>
      <c r="I10" s="12"/>
      <c r="J10" s="33">
        <f>$F$6*H10</f>
        <v>664.53612750000013</v>
      </c>
      <c r="L10" s="16">
        <f>IF(E11=1,F6*H9,IF($E$11=2,F6*H10,IF($E$11=3,F6*H11,IF($E$11=4,F6*H12,0))))</f>
        <v>983.5134687000002</v>
      </c>
      <c r="N10" s="10"/>
      <c r="O10" t="s">
        <v>134</v>
      </c>
    </row>
    <row r="11" spans="1:15" ht="20.25">
      <c r="A11" s="19" t="s">
        <v>147</v>
      </c>
      <c r="B11" s="42"/>
      <c r="C11" s="7" t="s">
        <v>81</v>
      </c>
      <c r="D11" s="7"/>
      <c r="E11" s="50">
        <v>3</v>
      </c>
      <c r="F11" s="12" t="s">
        <v>82</v>
      </c>
      <c r="H11" s="12">
        <v>0.55500000000000005</v>
      </c>
      <c r="I11" s="12"/>
      <c r="J11" s="16">
        <f>$F$6*H11</f>
        <v>983.5134687000002</v>
      </c>
      <c r="L11" s="36" t="s">
        <v>117</v>
      </c>
      <c r="N11" s="10"/>
    </row>
    <row r="12" spans="1:15" ht="20.25">
      <c r="A12" s="19" t="s">
        <v>148</v>
      </c>
      <c r="B12" s="42"/>
      <c r="C12" s="7" t="s">
        <v>83</v>
      </c>
      <c r="D12" s="7"/>
      <c r="E12" s="50"/>
      <c r="F12" s="12" t="s">
        <v>84</v>
      </c>
      <c r="H12" s="12">
        <v>0.72499999999999998</v>
      </c>
      <c r="I12" s="12"/>
      <c r="J12" s="16">
        <f>$F$6*H12</f>
        <v>1284.7698465000001</v>
      </c>
      <c r="L12" s="24">
        <f>F6+L10</f>
        <v>2755.6098087000005</v>
      </c>
      <c r="M12" s="10" t="s">
        <v>113</v>
      </c>
      <c r="N12" s="11"/>
      <c r="O12" s="11"/>
    </row>
    <row r="13" spans="1:15" s="12" customFormat="1">
      <c r="C13" s="18"/>
      <c r="D13" s="18"/>
      <c r="E13" s="18"/>
      <c r="F13" s="18"/>
      <c r="G13" s="18"/>
      <c r="H13" s="18"/>
      <c r="I13" s="18"/>
      <c r="J13" s="18"/>
      <c r="N13" s="10"/>
    </row>
    <row r="14" spans="1:15" s="12" customFormat="1">
      <c r="C14" s="35" t="s">
        <v>104</v>
      </c>
      <c r="D14" s="34"/>
      <c r="E14" s="34"/>
      <c r="F14" s="34"/>
      <c r="G14" s="34"/>
      <c r="H14" s="34"/>
      <c r="I14" s="34"/>
      <c r="J14" s="34"/>
      <c r="K14" s="34"/>
      <c r="L14" s="34"/>
      <c r="N14" s="10"/>
    </row>
    <row r="15" spans="1:15" s="12" customFormat="1">
      <c r="A15" s="12" t="s">
        <v>125</v>
      </c>
      <c r="C15" s="18"/>
      <c r="D15" s="18"/>
      <c r="E15" s="18"/>
      <c r="F15" s="18"/>
      <c r="G15" s="18"/>
      <c r="H15" s="18"/>
      <c r="I15" s="18"/>
      <c r="J15" s="18"/>
      <c r="N15" s="10"/>
    </row>
    <row r="16" spans="1:15" s="12" customFormat="1">
      <c r="B16" s="12" t="s">
        <v>106</v>
      </c>
      <c r="D16" s="12" t="s">
        <v>107</v>
      </c>
      <c r="F16" s="37" t="s">
        <v>105</v>
      </c>
      <c r="H16" s="18"/>
      <c r="I16" s="18"/>
      <c r="J16" s="18"/>
      <c r="N16" s="10"/>
    </row>
    <row r="17" spans="1:15" s="12" customFormat="1">
      <c r="B17" s="43">
        <v>42975</v>
      </c>
      <c r="D17" s="44">
        <f>B17+G18</f>
        <v>43040.163</v>
      </c>
      <c r="E17" s="18"/>
      <c r="F17" s="16">
        <f>DATEDIF(B17,D17,"d")</f>
        <v>65</v>
      </c>
      <c r="H17" s="18"/>
      <c r="I17" s="18"/>
      <c r="J17" s="18"/>
      <c r="L17" s="12" t="s">
        <v>144</v>
      </c>
      <c r="N17" s="10"/>
    </row>
    <row r="18" spans="1:15" s="12" customFormat="1">
      <c r="A18"/>
      <c r="B18" s="14" t="s">
        <v>114</v>
      </c>
      <c r="C18" s="16">
        <f>(K3*14400)</f>
        <v>31278.23999999998</v>
      </c>
      <c r="D18" s="37" t="s">
        <v>116</v>
      </c>
      <c r="E18" s="16">
        <v>480</v>
      </c>
      <c r="F18" s="14" t="s">
        <v>119</v>
      </c>
      <c r="G18" s="16">
        <f>C18/E18</f>
        <v>65.162999999999954</v>
      </c>
      <c r="H18" s="10" t="s">
        <v>109</v>
      </c>
      <c r="I18" s="11"/>
      <c r="J18" s="40"/>
      <c r="K18" s="40"/>
      <c r="L18" s="40"/>
      <c r="M18" s="11"/>
      <c r="N18" s="41" t="s">
        <v>115</v>
      </c>
      <c r="O18" s="41">
        <f>14400/30</f>
        <v>480</v>
      </c>
    </row>
    <row r="19" spans="1:15" s="12" customFormat="1">
      <c r="B19" s="14"/>
      <c r="C19" s="35" t="s">
        <v>118</v>
      </c>
      <c r="D19" s="35"/>
      <c r="E19" s="35"/>
      <c r="F19" s="35"/>
      <c r="G19" s="35"/>
      <c r="H19" s="35"/>
      <c r="I19" s="34"/>
      <c r="J19" s="34"/>
      <c r="K19" s="34"/>
      <c r="L19" s="12" t="s">
        <v>120</v>
      </c>
      <c r="N19" s="39"/>
      <c r="O19" s="39"/>
    </row>
    <row r="20" spans="1:15" s="12" customFormat="1">
      <c r="A20" s="12" t="s">
        <v>126</v>
      </c>
      <c r="B20" s="14"/>
      <c r="C20"/>
      <c r="D20"/>
      <c r="E20"/>
      <c r="F20"/>
      <c r="G20"/>
      <c r="H20"/>
      <c r="I20"/>
      <c r="J20"/>
      <c r="K20"/>
      <c r="L20">
        <f>G18*0.8</f>
        <v>52.130399999999966</v>
      </c>
      <c r="M20" s="12" t="s">
        <v>122</v>
      </c>
      <c r="N20" s="38">
        <f>L20/30</f>
        <v>1.7376799999999988</v>
      </c>
      <c r="O20" s="38" t="s">
        <v>121</v>
      </c>
    </row>
    <row r="21" spans="1:15" ht="20.25">
      <c r="A21" s="30" t="s">
        <v>103</v>
      </c>
      <c r="C21" s="31" t="s">
        <v>88</v>
      </c>
      <c r="E21" t="s">
        <v>123</v>
      </c>
      <c r="G21" t="s">
        <v>124</v>
      </c>
      <c r="J21" s="24">
        <f>L12-I22</f>
        <v>2275.6098087000005</v>
      </c>
      <c r="K21" s="11"/>
    </row>
    <row r="22" spans="1:15">
      <c r="C22" s="13" t="s">
        <v>89</v>
      </c>
      <c r="D22" s="13" t="s">
        <v>85</v>
      </c>
      <c r="F22" t="s">
        <v>86</v>
      </c>
      <c r="G22">
        <f>2*7200</f>
        <v>14400</v>
      </c>
      <c r="H22" t="s">
        <v>87</v>
      </c>
      <c r="I22">
        <f>G22/30</f>
        <v>480</v>
      </c>
      <c r="K22" s="11"/>
    </row>
    <row r="23" spans="1:15">
      <c r="F23" s="9"/>
    </row>
    <row r="24" spans="1:15">
      <c r="L24" t="s">
        <v>140</v>
      </c>
    </row>
    <row r="25" spans="1:15">
      <c r="A25" t="s">
        <v>127</v>
      </c>
      <c r="L25" t="s">
        <v>141</v>
      </c>
    </row>
    <row r="26" spans="1:15" s="12" customFormat="1">
      <c r="C26" s="45"/>
      <c r="D26" s="45" t="s">
        <v>128</v>
      </c>
      <c r="E26" s="45" t="s">
        <v>129</v>
      </c>
      <c r="F26" s="45" t="s">
        <v>130</v>
      </c>
      <c r="L26" s="12" t="s">
        <v>142</v>
      </c>
    </row>
    <row r="27" spans="1:15" s="12" customFormat="1">
      <c r="B27"/>
      <c r="C27" s="45" t="s">
        <v>131</v>
      </c>
      <c r="D27" s="46">
        <v>0.5</v>
      </c>
      <c r="E27" s="46">
        <v>0.3</v>
      </c>
      <c r="F27" s="46">
        <v>0.2</v>
      </c>
      <c r="L27" s="12" t="s">
        <v>143</v>
      </c>
    </row>
    <row r="28" spans="1:15" s="12" customFormat="1">
      <c r="B28"/>
      <c r="C28" s="45" t="s">
        <v>135</v>
      </c>
      <c r="D28" s="47">
        <f>$J$21*D27</f>
        <v>1137.8049043500002</v>
      </c>
      <c r="E28" s="47">
        <f>$J$21*E27</f>
        <v>682.68294261000017</v>
      </c>
      <c r="F28" s="47">
        <f>$J$21*F27</f>
        <v>455.12196174000013</v>
      </c>
    </row>
    <row r="29" spans="1:15">
      <c r="C29" s="45" t="s">
        <v>136</v>
      </c>
      <c r="D29" s="47">
        <f>D28/4</f>
        <v>284.45122608750006</v>
      </c>
      <c r="E29" s="47">
        <f>E28/4</f>
        <v>170.67073565250004</v>
      </c>
      <c r="F29" s="47">
        <f>F28/9</f>
        <v>50.569106860000012</v>
      </c>
    </row>
    <row r="30" spans="1:15" s="12" customFormat="1">
      <c r="B30"/>
      <c r="C30"/>
      <c r="D30"/>
      <c r="E30"/>
      <c r="F30"/>
      <c r="G30"/>
      <c r="H30"/>
      <c r="L30" s="12" t="s">
        <v>138</v>
      </c>
      <c r="M30" s="12">
        <f>D3*1.3</f>
        <v>97.37</v>
      </c>
    </row>
    <row r="31" spans="1:15" s="12" customFormat="1">
      <c r="B31"/>
      <c r="C31"/>
      <c r="D31"/>
      <c r="E31"/>
      <c r="F31"/>
      <c r="G31"/>
      <c r="H31"/>
      <c r="L31" s="12" t="s">
        <v>139</v>
      </c>
      <c r="M31" s="12">
        <f>D3*2</f>
        <v>149.80000000000001</v>
      </c>
    </row>
    <row r="32" spans="1:15" s="12" customFormat="1"/>
    <row r="33" spans="2:11" s="12" customFormat="1"/>
    <row r="34" spans="2:11" s="12" customFormat="1">
      <c r="B34"/>
      <c r="C34"/>
      <c r="D34"/>
      <c r="E34"/>
      <c r="F34"/>
      <c r="G34"/>
      <c r="H34"/>
    </row>
    <row r="35" spans="2:11">
      <c r="B35" t="s">
        <v>54</v>
      </c>
      <c r="G35" t="s">
        <v>55</v>
      </c>
    </row>
    <row r="36" spans="2:11">
      <c r="B36" s="8" t="s">
        <v>8</v>
      </c>
      <c r="C36" t="s">
        <v>57</v>
      </c>
      <c r="D36" t="s">
        <v>47</v>
      </c>
      <c r="E36" t="s">
        <v>92</v>
      </c>
      <c r="F36" t="s">
        <v>48</v>
      </c>
      <c r="G36" t="s">
        <v>49</v>
      </c>
      <c r="H36" t="s">
        <v>56</v>
      </c>
      <c r="I36" t="s">
        <v>62</v>
      </c>
      <c r="K36" t="s">
        <v>93</v>
      </c>
    </row>
    <row r="37" spans="2:11">
      <c r="B37" t="s">
        <v>50</v>
      </c>
      <c r="C37">
        <v>0</v>
      </c>
      <c r="D37">
        <v>10</v>
      </c>
      <c r="E37" s="14">
        <v>20</v>
      </c>
      <c r="F37">
        <v>30</v>
      </c>
      <c r="G37">
        <v>40</v>
      </c>
      <c r="H37">
        <v>50</v>
      </c>
      <c r="I37" s="9" t="s">
        <v>58</v>
      </c>
    </row>
    <row r="38" spans="2:11">
      <c r="B38" t="s">
        <v>51</v>
      </c>
      <c r="C38">
        <v>0</v>
      </c>
      <c r="D38">
        <v>5</v>
      </c>
      <c r="E38" s="14">
        <v>10</v>
      </c>
      <c r="F38">
        <v>15</v>
      </c>
      <c r="G38">
        <v>20</v>
      </c>
      <c r="H38">
        <v>25</v>
      </c>
      <c r="I38" s="9" t="s">
        <v>59</v>
      </c>
    </row>
    <row r="39" spans="2:11">
      <c r="B39" t="s">
        <v>52</v>
      </c>
      <c r="C39">
        <v>0</v>
      </c>
      <c r="D39">
        <v>10</v>
      </c>
      <c r="E39" s="14">
        <v>30</v>
      </c>
      <c r="F39">
        <v>50</v>
      </c>
      <c r="G39">
        <v>70</v>
      </c>
      <c r="H39">
        <v>90</v>
      </c>
      <c r="I39" s="9" t="s">
        <v>60</v>
      </c>
    </row>
    <row r="40" spans="2:11">
      <c r="B40" t="s">
        <v>53</v>
      </c>
      <c r="C40">
        <v>0</v>
      </c>
      <c r="D40">
        <v>6</v>
      </c>
      <c r="E40" s="14">
        <v>10</v>
      </c>
      <c r="F40">
        <v>14</v>
      </c>
      <c r="G40">
        <v>18</v>
      </c>
      <c r="H40">
        <v>22</v>
      </c>
      <c r="I40" s="9" t="s">
        <v>61</v>
      </c>
    </row>
    <row r="44" spans="2:11">
      <c r="B44" t="s">
        <v>9</v>
      </c>
    </row>
    <row r="45" spans="2:11">
      <c r="C45" t="s">
        <v>11</v>
      </c>
      <c r="E45" t="s">
        <v>10</v>
      </c>
    </row>
    <row r="46" spans="2:11">
      <c r="C46" t="s">
        <v>12</v>
      </c>
      <c r="E46" t="s">
        <v>13</v>
      </c>
    </row>
    <row r="47" spans="2:11">
      <c r="C47" t="s">
        <v>15</v>
      </c>
      <c r="E47" t="s">
        <v>14</v>
      </c>
    </row>
    <row r="49" spans="1:10">
      <c r="B49" t="s">
        <v>19</v>
      </c>
      <c r="C49" t="s">
        <v>20</v>
      </c>
      <c r="D49" t="s">
        <v>21</v>
      </c>
      <c r="E49" t="s">
        <v>22</v>
      </c>
      <c r="G49" t="s">
        <v>65</v>
      </c>
      <c r="H49">
        <v>4</v>
      </c>
      <c r="I49">
        <v>3</v>
      </c>
      <c r="J49">
        <v>3</v>
      </c>
    </row>
    <row r="50" spans="1:10">
      <c r="A50" t="s">
        <v>63</v>
      </c>
      <c r="B50" s="15">
        <v>0.5</v>
      </c>
      <c r="C50" s="15">
        <v>0.3</v>
      </c>
      <c r="D50" s="15">
        <v>0.2</v>
      </c>
      <c r="G50" t="s">
        <v>66</v>
      </c>
      <c r="H50">
        <v>6.5</v>
      </c>
      <c r="I50">
        <v>1.5</v>
      </c>
      <c r="J50">
        <v>2</v>
      </c>
    </row>
    <row r="51" spans="1:10">
      <c r="A51" t="s">
        <v>64</v>
      </c>
      <c r="B51">
        <v>0.3</v>
      </c>
      <c r="C51">
        <v>0.5</v>
      </c>
      <c r="D51">
        <v>0.2</v>
      </c>
    </row>
    <row r="54" spans="1:10">
      <c r="B54" t="s">
        <v>67</v>
      </c>
    </row>
    <row r="55" spans="1:10">
      <c r="B55" t="s">
        <v>91</v>
      </c>
    </row>
    <row r="56" spans="1:10">
      <c r="B56" t="s">
        <v>90</v>
      </c>
    </row>
    <row r="57" spans="1:10">
      <c r="B57" t="s">
        <v>68</v>
      </c>
    </row>
  </sheetData>
  <mergeCells count="5">
    <mergeCell ref="D1:E1"/>
    <mergeCell ref="A1:B1"/>
    <mergeCell ref="H1:K1"/>
    <mergeCell ref="E9:E10"/>
    <mergeCell ref="E11:E12"/>
  </mergeCells>
  <phoneticPr fontId="2" type="noConversion"/>
  <pageMargins left="0.7" right="0.7" top="0.75" bottom="0.75" header="0.3" footer="0.3"/>
  <pageSetup paperSize="9" orientation="portrait" horizontalDpi="4294967293" vertic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8" r:id="rId4" name="Option Button 14">
              <controlPr defaultSize="0" autoFill="0" autoLine="0" autoPict="0">
                <anchor moveWithCells="1">
                  <from>
                    <xdr:col>1</xdr:col>
                    <xdr:colOff>104775</xdr:colOff>
                    <xdr:row>8</xdr:row>
                    <xdr:rowOff>47625</xdr:rowOff>
                  </from>
                  <to>
                    <xdr:col>1</xdr:col>
                    <xdr:colOff>666750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5" name="Option Button 21">
              <controlPr defaultSize="0" autoFill="0" autoLine="0" autoPict="0">
                <anchor moveWithCells="1">
                  <from>
                    <xdr:col>1</xdr:col>
                    <xdr:colOff>104775</xdr:colOff>
                    <xdr:row>9</xdr:row>
                    <xdr:rowOff>19050</xdr:rowOff>
                  </from>
                  <to>
                    <xdr:col>1</xdr:col>
                    <xdr:colOff>666750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6" name="Option Button 22">
              <controlPr defaultSize="0" autoFill="0" autoLine="0" autoPict="0">
                <anchor moveWithCells="1">
                  <from>
                    <xdr:col>1</xdr:col>
                    <xdr:colOff>104775</xdr:colOff>
                    <xdr:row>10</xdr:row>
                    <xdr:rowOff>57150</xdr:rowOff>
                  </from>
                  <to>
                    <xdr:col>1</xdr:col>
                    <xdr:colOff>666750</xdr:colOff>
                    <xdr:row>10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7" name="Option Button 23">
              <controlPr defaultSize="0" autoFill="0" autoLine="0" autoPict="0">
                <anchor moveWithCells="1">
                  <from>
                    <xdr:col>1</xdr:col>
                    <xdr:colOff>104775</xdr:colOff>
                    <xdr:row>11</xdr:row>
                    <xdr:rowOff>47625</xdr:rowOff>
                  </from>
                  <to>
                    <xdr:col>1</xdr:col>
                    <xdr:colOff>666750</xdr:colOff>
                    <xdr:row>11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27"/>
  <sheetViews>
    <sheetView topLeftCell="A13" workbookViewId="0">
      <selection activeCell="B30" sqref="B30:I36"/>
    </sheetView>
  </sheetViews>
  <sheetFormatPr defaultRowHeight="16.5"/>
  <sheetData>
    <row r="5" spans="2:13">
      <c r="B5" t="s">
        <v>23</v>
      </c>
      <c r="E5" t="s">
        <v>27</v>
      </c>
    </row>
    <row r="6" spans="2:13">
      <c r="B6" t="s">
        <v>28</v>
      </c>
      <c r="E6" t="s">
        <v>26</v>
      </c>
    </row>
    <row r="7" spans="2:13">
      <c r="B7" t="s">
        <v>24</v>
      </c>
    </row>
    <row r="8" spans="2:13">
      <c r="B8" s="11" t="s">
        <v>70</v>
      </c>
    </row>
    <row r="9" spans="2:13">
      <c r="B9" s="4" t="s">
        <v>42</v>
      </c>
      <c r="C9" s="4"/>
      <c r="D9" s="4"/>
      <c r="E9" s="4"/>
      <c r="F9" s="4"/>
      <c r="G9" s="4"/>
      <c r="H9" s="4"/>
      <c r="I9" s="4"/>
      <c r="J9" s="4"/>
      <c r="K9" s="4"/>
      <c r="L9" s="4"/>
    </row>
    <row r="10" spans="2:13">
      <c r="B10" t="s">
        <v>29</v>
      </c>
      <c r="C10" t="s">
        <v>30</v>
      </c>
      <c r="H10" s="6" t="s">
        <v>44</v>
      </c>
      <c r="I10" t="s">
        <v>25</v>
      </c>
    </row>
    <row r="11" spans="2:13">
      <c r="B11">
        <v>1</v>
      </c>
      <c r="C11" t="s">
        <v>31</v>
      </c>
      <c r="H11">
        <v>10</v>
      </c>
    </row>
    <row r="12" spans="2:13">
      <c r="B12">
        <v>1.8</v>
      </c>
      <c r="C12" s="4" t="s">
        <v>32</v>
      </c>
      <c r="H12">
        <v>18</v>
      </c>
      <c r="L12">
        <f>H12*10</f>
        <v>180</v>
      </c>
      <c r="M12">
        <f>H12*10</f>
        <v>180</v>
      </c>
    </row>
    <row r="13" spans="2:13">
      <c r="B13">
        <v>2.2999999999999998</v>
      </c>
      <c r="C13" t="s">
        <v>40</v>
      </c>
      <c r="H13">
        <v>25</v>
      </c>
    </row>
    <row r="14" spans="2:13">
      <c r="B14" s="1">
        <v>3</v>
      </c>
      <c r="C14" s="1" t="s">
        <v>38</v>
      </c>
      <c r="D14" s="1"/>
      <c r="E14" s="1"/>
      <c r="F14" s="1"/>
      <c r="H14">
        <v>30</v>
      </c>
    </row>
    <row r="15" spans="2:13">
      <c r="B15" s="2">
        <v>3.5</v>
      </c>
      <c r="C15" s="2" t="s">
        <v>39</v>
      </c>
      <c r="D15" s="2"/>
      <c r="E15" s="2"/>
      <c r="F15" s="2"/>
      <c r="H15">
        <v>35</v>
      </c>
    </row>
    <row r="16" spans="2:13">
      <c r="B16" s="2">
        <v>3.8</v>
      </c>
      <c r="C16" s="2" t="s">
        <v>33</v>
      </c>
      <c r="D16" s="2"/>
      <c r="E16" s="2"/>
      <c r="F16" s="2"/>
      <c r="H16">
        <v>40</v>
      </c>
    </row>
    <row r="17" spans="2:13">
      <c r="B17" s="2">
        <v>4</v>
      </c>
      <c r="C17" s="2" t="s">
        <v>34</v>
      </c>
      <c r="D17" s="2"/>
      <c r="E17" s="2"/>
      <c r="F17" s="2"/>
      <c r="H17">
        <v>50</v>
      </c>
    </row>
    <row r="18" spans="2:13">
      <c r="B18" s="3">
        <v>6</v>
      </c>
      <c r="C18" s="5" t="s">
        <v>35</v>
      </c>
      <c r="D18" s="3"/>
      <c r="E18" s="3"/>
      <c r="F18" s="3"/>
      <c r="H18">
        <v>70</v>
      </c>
      <c r="L18">
        <f>H18*6</f>
        <v>420</v>
      </c>
    </row>
    <row r="19" spans="2:13">
      <c r="B19">
        <v>7</v>
      </c>
      <c r="C19" t="s">
        <v>37</v>
      </c>
      <c r="H19">
        <v>80</v>
      </c>
    </row>
    <row r="20" spans="2:13">
      <c r="B20">
        <v>8</v>
      </c>
      <c r="C20" s="4" t="s">
        <v>43</v>
      </c>
      <c r="H20">
        <v>90</v>
      </c>
      <c r="M20">
        <f>H20*7</f>
        <v>630</v>
      </c>
    </row>
    <row r="21" spans="2:13">
      <c r="B21">
        <v>10</v>
      </c>
      <c r="C21" t="s">
        <v>41</v>
      </c>
      <c r="H21">
        <v>110</v>
      </c>
      <c r="I21" t="s">
        <v>45</v>
      </c>
      <c r="J21" t="s">
        <v>46</v>
      </c>
    </row>
    <row r="22" spans="2:13">
      <c r="B22">
        <v>15</v>
      </c>
      <c r="C22" t="s">
        <v>36</v>
      </c>
      <c r="H22">
        <v>160</v>
      </c>
    </row>
    <row r="24" spans="2:13">
      <c r="B24" s="7"/>
    </row>
    <row r="25" spans="2:13">
      <c r="L25" s="7"/>
    </row>
    <row r="26" spans="2:13">
      <c r="L26" s="7"/>
    </row>
    <row r="27" spans="2:13">
      <c r="L27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hwang</dc:creator>
  <cp:lastModifiedBy>hwang</cp:lastModifiedBy>
  <dcterms:created xsi:type="dcterms:W3CDTF">2017-08-16T22:03:53Z</dcterms:created>
  <dcterms:modified xsi:type="dcterms:W3CDTF">2017-08-27T23:20:07Z</dcterms:modified>
</cp:coreProperties>
</file>