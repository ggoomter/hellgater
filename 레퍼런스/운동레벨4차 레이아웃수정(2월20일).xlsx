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30720" windowHeight="9108" firstSheet="18" activeTab="27"/>
  </bookViews>
  <sheets>
    <sheet name="벤치프레스" sheetId="1" r:id="rId1"/>
    <sheet name="데드리프트" sheetId="2" r:id="rId2"/>
    <sheet name="무게스쿼트" sheetId="27" r:id="rId3"/>
    <sheet name="턱걸이" sheetId="4" r:id="rId4"/>
    <sheet name="팔굽혀펴기" sheetId="5" r:id="rId5"/>
    <sheet name="밀리터리프레스" sheetId="6" r:id="rId6"/>
    <sheet name="숄더프레스" sheetId="10" r:id="rId7"/>
    <sheet name="레그익스텐션" sheetId="7" r:id="rId8"/>
    <sheet name="케이블크로스" sheetId="8" r:id="rId9"/>
    <sheet name="트라이셉스푸쉬다운" sheetId="9" r:id="rId10"/>
    <sheet name="리터럴레이즈" sheetId="12" r:id="rId11"/>
    <sheet name="덤벨컬" sheetId="13" r:id="rId12"/>
    <sheet name="스미스데드리프트" sheetId="17" r:id="rId13"/>
    <sheet name="바벨컬" sheetId="14" r:id="rId14"/>
    <sheet name="바벨로우" sheetId="16" r:id="rId15"/>
    <sheet name="랫풀다운" sheetId="15" r:id="rId16"/>
    <sheet name="무게런지" sheetId="18" r:id="rId17"/>
    <sheet name="레그프레스" sheetId="19" r:id="rId18"/>
    <sheet name="카프레이즈" sheetId="20" r:id="rId19"/>
    <sheet name="버핏테스트" sheetId="22" r:id="rId20"/>
    <sheet name="윗몸일으키기" sheetId="23" r:id="rId21"/>
    <sheet name="크런치" sheetId="25" r:id="rId22"/>
    <sheet name="바이시클메뉴버" sheetId="24" r:id="rId23"/>
    <sheet name="딥스" sheetId="26" r:id="rId24"/>
    <sheet name="기본표" sheetId="11" r:id="rId25"/>
    <sheet name="맨몸스쿼트" sheetId="3" r:id="rId26"/>
    <sheet name="점프런지" sheetId="28" r:id="rId27"/>
    <sheet name="플랭크" sheetId="21" r:id="rId28"/>
  </sheets>
  <calcPr calcId="144525"/>
</workbook>
</file>

<file path=xl/calcChain.xml><?xml version="1.0" encoding="utf-8"?>
<calcChain xmlns="http://schemas.openxmlformats.org/spreadsheetml/2006/main">
  <c r="B21" i="28" l="1"/>
  <c r="K21" i="28" s="1"/>
  <c r="C21" i="28"/>
  <c r="D21" i="28"/>
  <c r="L21" i="28" s="1"/>
  <c r="E21" i="28"/>
  <c r="F21" i="28"/>
  <c r="M21" i="28" s="1"/>
  <c r="G21" i="28"/>
  <c r="O21" i="28" s="1"/>
  <c r="H21" i="28"/>
  <c r="D8" i="28"/>
  <c r="D9" i="28" s="1"/>
  <c r="D6" i="28"/>
  <c r="D5" i="28" s="1"/>
  <c r="D4" i="28" s="1"/>
  <c r="D18" i="28" s="1"/>
  <c r="H8" i="28"/>
  <c r="H9" i="28" s="1"/>
  <c r="H10" i="28" s="1"/>
  <c r="H11" i="28" s="1"/>
  <c r="H12" i="28" s="1"/>
  <c r="H13" i="28" s="1"/>
  <c r="H14" i="28" s="1"/>
  <c r="G8" i="28"/>
  <c r="G9" i="28" s="1"/>
  <c r="G23" i="28" s="1"/>
  <c r="F8" i="28"/>
  <c r="F9" i="28" s="1"/>
  <c r="F23" i="28" s="1"/>
  <c r="E8" i="28"/>
  <c r="E9" i="28" s="1"/>
  <c r="E10" i="28" s="1"/>
  <c r="E11" i="28" s="1"/>
  <c r="E12" i="28" s="1"/>
  <c r="E13" i="28" s="1"/>
  <c r="E14" i="28" s="1"/>
  <c r="C8" i="28"/>
  <c r="C9" i="28" s="1"/>
  <c r="C10" i="28" s="1"/>
  <c r="C11" i="28" s="1"/>
  <c r="C12" i="28" s="1"/>
  <c r="C13" i="28" s="1"/>
  <c r="C14" i="28" s="1"/>
  <c r="B8" i="28"/>
  <c r="B22" i="28" s="1"/>
  <c r="H6" i="28"/>
  <c r="P6" i="28" s="1"/>
  <c r="G6" i="28"/>
  <c r="G5" i="28" s="1"/>
  <c r="G19" i="28" s="1"/>
  <c r="F6" i="28"/>
  <c r="F5" i="28" s="1"/>
  <c r="F4" i="28" s="1"/>
  <c r="F18" i="28" s="1"/>
  <c r="E6" i="28"/>
  <c r="E20" i="28" s="1"/>
  <c r="C6" i="28"/>
  <c r="C5" i="28" s="1"/>
  <c r="C4" i="28" s="1"/>
  <c r="C18" i="28" s="1"/>
  <c r="B6" i="28"/>
  <c r="B20" i="28" s="1"/>
  <c r="Q21" i="28"/>
  <c r="N21" i="28"/>
  <c r="Q8" i="28"/>
  <c r="Q7" i="28"/>
  <c r="P7" i="28"/>
  <c r="O7" i="28"/>
  <c r="N7" i="28"/>
  <c r="M7" i="28"/>
  <c r="L7" i="28"/>
  <c r="K7" i="28"/>
  <c r="L6" i="17"/>
  <c r="M6" i="17"/>
  <c r="N6" i="17"/>
  <c r="O6" i="17"/>
  <c r="P6" i="17"/>
  <c r="Q6" i="17"/>
  <c r="K6" i="17"/>
  <c r="B22" i="3"/>
  <c r="C22" i="3"/>
  <c r="D22" i="3"/>
  <c r="E22" i="3"/>
  <c r="F22" i="3"/>
  <c r="G22" i="3"/>
  <c r="H22" i="3"/>
  <c r="C9" i="3"/>
  <c r="C10" i="3" s="1"/>
  <c r="D9" i="3"/>
  <c r="D10" i="3" s="1"/>
  <c r="E9" i="3"/>
  <c r="E23" i="3" s="1"/>
  <c r="F9" i="3"/>
  <c r="F10" i="3" s="1"/>
  <c r="G9" i="3"/>
  <c r="G10" i="3" s="1"/>
  <c r="H9" i="3"/>
  <c r="H23" i="3" s="1"/>
  <c r="B9" i="3"/>
  <c r="B23" i="3" s="1"/>
  <c r="C7" i="3"/>
  <c r="C21" i="3" s="1"/>
  <c r="D7" i="3"/>
  <c r="D6" i="3" s="1"/>
  <c r="D5" i="3" s="1"/>
  <c r="D19" i="3" s="1"/>
  <c r="E7" i="3"/>
  <c r="E21" i="3" s="1"/>
  <c r="F7" i="3"/>
  <c r="F21" i="3" s="1"/>
  <c r="G7" i="3"/>
  <c r="G21" i="3" s="1"/>
  <c r="H7" i="3"/>
  <c r="H6" i="3" s="1"/>
  <c r="H5" i="3" s="1"/>
  <c r="H19" i="3" s="1"/>
  <c r="B7" i="3"/>
  <c r="B6" i="3" s="1"/>
  <c r="H23" i="28" l="1"/>
  <c r="Q23" i="28" s="1"/>
  <c r="D10" i="28"/>
  <c r="D24" i="28" s="1"/>
  <c r="D23" i="28"/>
  <c r="L23" i="28" s="1"/>
  <c r="H26" i="28"/>
  <c r="C25" i="28"/>
  <c r="E23" i="28"/>
  <c r="N23" i="28" s="1"/>
  <c r="H22" i="28"/>
  <c r="Q22" i="28" s="1"/>
  <c r="D22" i="28"/>
  <c r="F20" i="28"/>
  <c r="C26" i="28"/>
  <c r="E24" i="28"/>
  <c r="N24" i="28" s="1"/>
  <c r="G22" i="28"/>
  <c r="C22" i="28"/>
  <c r="D19" i="28"/>
  <c r="L19" i="28" s="1"/>
  <c r="K8" i="28"/>
  <c r="E25" i="28"/>
  <c r="H24" i="28"/>
  <c r="C23" i="28"/>
  <c r="F22" i="28"/>
  <c r="M22" i="28" s="1"/>
  <c r="H20" i="28"/>
  <c r="Q20" i="28" s="1"/>
  <c r="D20" i="28"/>
  <c r="L20" i="28" s="1"/>
  <c r="C19" i="28"/>
  <c r="E26" i="28"/>
  <c r="H25" i="28"/>
  <c r="C24" i="28"/>
  <c r="E22" i="28"/>
  <c r="N22" i="28" s="1"/>
  <c r="G20" i="28"/>
  <c r="C20" i="28"/>
  <c r="F19" i="28"/>
  <c r="M19" i="28" s="1"/>
  <c r="D23" i="3"/>
  <c r="D21" i="3"/>
  <c r="H10" i="3"/>
  <c r="H11" i="3" s="1"/>
  <c r="H12" i="3" s="1"/>
  <c r="H13" i="3" s="1"/>
  <c r="H14" i="3" s="1"/>
  <c r="H15" i="3" s="1"/>
  <c r="B10" i="3"/>
  <c r="B24" i="3" s="1"/>
  <c r="D11" i="3"/>
  <c r="D12" i="3" s="1"/>
  <c r="D13" i="3" s="1"/>
  <c r="D24" i="3"/>
  <c r="E6" i="3"/>
  <c r="E5" i="3" s="1"/>
  <c r="E19" i="3" s="1"/>
  <c r="B21" i="3"/>
  <c r="E10" i="3"/>
  <c r="E24" i="3" s="1"/>
  <c r="H21" i="3"/>
  <c r="B5" i="3"/>
  <c r="B19" i="3" s="1"/>
  <c r="B20" i="3"/>
  <c r="K20" i="3" s="1"/>
  <c r="G24" i="3"/>
  <c r="G11" i="3"/>
  <c r="C11" i="3"/>
  <c r="C24" i="3"/>
  <c r="F11" i="3"/>
  <c r="F24" i="3"/>
  <c r="B11" i="3"/>
  <c r="G23" i="3"/>
  <c r="O23" i="3" s="1"/>
  <c r="C23" i="3"/>
  <c r="H20" i="3"/>
  <c r="D20" i="3"/>
  <c r="G6" i="3"/>
  <c r="C6" i="3"/>
  <c r="D25" i="3"/>
  <c r="F23" i="3"/>
  <c r="F6" i="3"/>
  <c r="D26" i="3"/>
  <c r="L26" i="3" s="1"/>
  <c r="B9" i="28"/>
  <c r="E5" i="28"/>
  <c r="M6" i="28"/>
  <c r="N6" i="28"/>
  <c r="N8" i="28"/>
  <c r="H5" i="28"/>
  <c r="H19" i="28" s="1"/>
  <c r="M20" i="28"/>
  <c r="P22" i="28"/>
  <c r="K20" i="28"/>
  <c r="L18" i="28"/>
  <c r="F10" i="28"/>
  <c r="F24" i="28" s="1"/>
  <c r="N9" i="28"/>
  <c r="P21" i="28"/>
  <c r="L22" i="28"/>
  <c r="M23" i="28"/>
  <c r="G10" i="28"/>
  <c r="G24" i="28" s="1"/>
  <c r="G4" i="28"/>
  <c r="G18" i="28" s="1"/>
  <c r="O5" i="28"/>
  <c r="Q24" i="28"/>
  <c r="B5" i="28"/>
  <c r="B19" i="28" s="1"/>
  <c r="O6" i="28"/>
  <c r="N5" i="28"/>
  <c r="K6" i="28"/>
  <c r="L8" i="28"/>
  <c r="Q6" i="28"/>
  <c r="M9" i="28"/>
  <c r="P8" i="28"/>
  <c r="L9" i="28"/>
  <c r="M8" i="28"/>
  <c r="O9" i="28"/>
  <c r="Q10" i="28"/>
  <c r="N20" i="28"/>
  <c r="K22" i="28"/>
  <c r="L6" i="28"/>
  <c r="O8" i="28"/>
  <c r="Q9" i="28"/>
  <c r="Q27" i="27"/>
  <c r="P27" i="27"/>
  <c r="O27" i="27"/>
  <c r="N27" i="27"/>
  <c r="M27" i="27"/>
  <c r="L27" i="27"/>
  <c r="K27" i="27"/>
  <c r="Q26" i="27"/>
  <c r="P26" i="27"/>
  <c r="O26" i="27"/>
  <c r="N26" i="27"/>
  <c r="F26" i="27"/>
  <c r="M26" i="27"/>
  <c r="L26" i="27"/>
  <c r="K26" i="27"/>
  <c r="Q25" i="27"/>
  <c r="P25" i="27"/>
  <c r="O25" i="27"/>
  <c r="N25" i="27"/>
  <c r="M25" i="27"/>
  <c r="L25" i="27"/>
  <c r="K25" i="27"/>
  <c r="Q24" i="27"/>
  <c r="P24" i="27"/>
  <c r="O24" i="27"/>
  <c r="N24" i="27"/>
  <c r="M24" i="27"/>
  <c r="L24" i="27"/>
  <c r="K24" i="27"/>
  <c r="Q23" i="27"/>
  <c r="P23" i="27"/>
  <c r="O23" i="27"/>
  <c r="N23" i="27"/>
  <c r="M23" i="27"/>
  <c r="L23" i="27"/>
  <c r="K23" i="27"/>
  <c r="Q22" i="27"/>
  <c r="P22" i="27"/>
  <c r="O22" i="27"/>
  <c r="N22" i="27"/>
  <c r="M22" i="27"/>
  <c r="L22" i="27"/>
  <c r="K22" i="27"/>
  <c r="H21" i="27"/>
  <c r="Q21" i="27"/>
  <c r="P21" i="27"/>
  <c r="O21" i="27"/>
  <c r="N21" i="27"/>
  <c r="M21" i="27"/>
  <c r="L21" i="27"/>
  <c r="K21" i="27"/>
  <c r="Q20" i="27"/>
  <c r="P20" i="27"/>
  <c r="O20" i="27"/>
  <c r="N20" i="27"/>
  <c r="M20" i="27"/>
  <c r="L20" i="27"/>
  <c r="K20" i="27"/>
  <c r="H19" i="27"/>
  <c r="Q19" i="27" s="1"/>
  <c r="P19" i="27"/>
  <c r="O19" i="27"/>
  <c r="N19" i="27"/>
  <c r="M19" i="27"/>
  <c r="L19" i="27"/>
  <c r="K19" i="27"/>
  <c r="Q15" i="27"/>
  <c r="P15" i="27"/>
  <c r="O15" i="27"/>
  <c r="N15" i="27"/>
  <c r="M15" i="27"/>
  <c r="L15" i="27"/>
  <c r="K15" i="27"/>
  <c r="Q14" i="27"/>
  <c r="P14" i="27"/>
  <c r="O14" i="27"/>
  <c r="N14" i="27"/>
  <c r="M14" i="27"/>
  <c r="L14" i="27"/>
  <c r="K14" i="27"/>
  <c r="Q13" i="27"/>
  <c r="P13" i="27"/>
  <c r="O13" i="27"/>
  <c r="N13" i="27"/>
  <c r="M13" i="27"/>
  <c r="L13" i="27"/>
  <c r="K13" i="27"/>
  <c r="Q12" i="27"/>
  <c r="P12" i="27"/>
  <c r="O12" i="27"/>
  <c r="N12" i="27"/>
  <c r="M12" i="27"/>
  <c r="L12" i="27"/>
  <c r="K12" i="27"/>
  <c r="Q11" i="27"/>
  <c r="P11" i="27"/>
  <c r="O11" i="27"/>
  <c r="N11" i="27"/>
  <c r="M11" i="27"/>
  <c r="L11" i="27"/>
  <c r="K11" i="27"/>
  <c r="Q10" i="27"/>
  <c r="P10" i="27"/>
  <c r="O10" i="27"/>
  <c r="N10" i="27"/>
  <c r="M10" i="27"/>
  <c r="L10" i="27"/>
  <c r="K10" i="27"/>
  <c r="Q9" i="27"/>
  <c r="P9" i="27"/>
  <c r="O9" i="27"/>
  <c r="N9" i="27"/>
  <c r="M9" i="27"/>
  <c r="L9" i="27"/>
  <c r="K9" i="27"/>
  <c r="Q8" i="27"/>
  <c r="P8" i="27"/>
  <c r="O8" i="27"/>
  <c r="N8" i="27"/>
  <c r="M8" i="27"/>
  <c r="L8" i="27"/>
  <c r="K8" i="27"/>
  <c r="Q7" i="27"/>
  <c r="P7" i="27"/>
  <c r="O7" i="27"/>
  <c r="N7" i="27"/>
  <c r="M7" i="27"/>
  <c r="L7" i="27"/>
  <c r="K7" i="27"/>
  <c r="Q6" i="27"/>
  <c r="P6" i="27"/>
  <c r="F6" i="27"/>
  <c r="O6" i="27" s="1"/>
  <c r="N6" i="27"/>
  <c r="M6" i="27"/>
  <c r="L6" i="27"/>
  <c r="K6" i="27"/>
  <c r="Q5" i="27"/>
  <c r="P5" i="27"/>
  <c r="O5" i="27"/>
  <c r="N5" i="27"/>
  <c r="M5" i="27"/>
  <c r="L5" i="27"/>
  <c r="K5" i="27"/>
  <c r="F22" i="26"/>
  <c r="F23" i="26" s="1"/>
  <c r="H22" i="26"/>
  <c r="H23" i="26"/>
  <c r="G22" i="26"/>
  <c r="G23" i="26"/>
  <c r="G24" i="26" s="1"/>
  <c r="E22" i="26"/>
  <c r="E23" i="26" s="1"/>
  <c r="D22" i="26"/>
  <c r="D23" i="26"/>
  <c r="L23" i="26" s="1"/>
  <c r="C22" i="26"/>
  <c r="C23" i="26" s="1"/>
  <c r="C24" i="26" s="1"/>
  <c r="C25" i="26" s="1"/>
  <c r="C26" i="26" s="1"/>
  <c r="C27" i="26" s="1"/>
  <c r="B22" i="26"/>
  <c r="K22" i="26" s="1"/>
  <c r="B23" i="26"/>
  <c r="F9" i="26"/>
  <c r="F10" i="26" s="1"/>
  <c r="H9" i="26"/>
  <c r="H10" i="26"/>
  <c r="G9" i="26"/>
  <c r="G10" i="26" s="1"/>
  <c r="E9" i="26"/>
  <c r="N9" i="26" s="1"/>
  <c r="D9" i="26"/>
  <c r="D10" i="26"/>
  <c r="D11" i="26" s="1"/>
  <c r="C9" i="26"/>
  <c r="C10" i="26" s="1"/>
  <c r="B9" i="26"/>
  <c r="B10" i="26"/>
  <c r="K10" i="26" s="1"/>
  <c r="Q8" i="26"/>
  <c r="P8" i="26"/>
  <c r="O8" i="26"/>
  <c r="N8" i="26"/>
  <c r="M8" i="26"/>
  <c r="L8" i="26"/>
  <c r="K8" i="26"/>
  <c r="H7" i="26"/>
  <c r="H6" i="26" s="1"/>
  <c r="G7" i="26"/>
  <c r="P7" i="26" s="1"/>
  <c r="F7" i="26"/>
  <c r="F21" i="26" s="1"/>
  <c r="M21" i="26" s="1"/>
  <c r="E7" i="26"/>
  <c r="N7" i="26" s="1"/>
  <c r="D7" i="26"/>
  <c r="M7" i="26" s="1"/>
  <c r="C7" i="26"/>
  <c r="L7" i="26" s="1"/>
  <c r="B7" i="26"/>
  <c r="B21" i="26"/>
  <c r="K21" i="26" s="1"/>
  <c r="B6" i="26"/>
  <c r="B5" i="26" s="1"/>
  <c r="E22" i="24"/>
  <c r="E23" i="24" s="1"/>
  <c r="B22" i="24"/>
  <c r="K22" i="24" s="1"/>
  <c r="H22" i="24"/>
  <c r="H23" i="24" s="1"/>
  <c r="G22" i="24"/>
  <c r="G23" i="24" s="1"/>
  <c r="F22" i="24"/>
  <c r="F23" i="24" s="1"/>
  <c r="D22" i="24"/>
  <c r="D23" i="24" s="1"/>
  <c r="C22" i="24"/>
  <c r="C23" i="24" s="1"/>
  <c r="C24" i="24" s="1"/>
  <c r="C25" i="24" s="1"/>
  <c r="C26" i="24" s="1"/>
  <c r="C27" i="24" s="1"/>
  <c r="B23" i="24"/>
  <c r="B24" i="24" s="1"/>
  <c r="B25" i="24" s="1"/>
  <c r="F9" i="24"/>
  <c r="F10" i="24" s="1"/>
  <c r="B9" i="24"/>
  <c r="B10" i="24" s="1"/>
  <c r="O9" i="24"/>
  <c r="E9" i="24"/>
  <c r="N9" i="24" s="1"/>
  <c r="D9" i="24"/>
  <c r="M9" i="24"/>
  <c r="H9" i="24"/>
  <c r="H10" i="24" s="1"/>
  <c r="G9" i="24"/>
  <c r="G10" i="24"/>
  <c r="P10" i="24" s="1"/>
  <c r="D10" i="24"/>
  <c r="D11" i="24" s="1"/>
  <c r="C9" i="24"/>
  <c r="C10" i="24" s="1"/>
  <c r="Q8" i="24"/>
  <c r="P8" i="24"/>
  <c r="O8" i="24"/>
  <c r="N8" i="24"/>
  <c r="M8" i="24"/>
  <c r="L8" i="24"/>
  <c r="K8" i="24"/>
  <c r="H7" i="24"/>
  <c r="H6" i="24" s="1"/>
  <c r="G7" i="24"/>
  <c r="G21" i="24"/>
  <c r="F7" i="24"/>
  <c r="F6" i="24" s="1"/>
  <c r="E7" i="24"/>
  <c r="E6" i="24" s="1"/>
  <c r="D7" i="24"/>
  <c r="D6" i="24"/>
  <c r="D5" i="24" s="1"/>
  <c r="C7" i="24"/>
  <c r="C21" i="24" s="1"/>
  <c r="B7" i="24"/>
  <c r="B21" i="24" s="1"/>
  <c r="K21" i="24" s="1"/>
  <c r="G6" i="24"/>
  <c r="G5" i="24" s="1"/>
  <c r="H22" i="25"/>
  <c r="H23" i="25" s="1"/>
  <c r="G22" i="25"/>
  <c r="P22" i="25" s="1"/>
  <c r="F22" i="25"/>
  <c r="F23" i="25" s="1"/>
  <c r="E22" i="25"/>
  <c r="E23" i="25" s="1"/>
  <c r="E24" i="25" s="1"/>
  <c r="N22" i="25"/>
  <c r="D22" i="25"/>
  <c r="D23" i="25" s="1"/>
  <c r="C22" i="25"/>
  <c r="C23" i="25"/>
  <c r="C24" i="25" s="1"/>
  <c r="C25" i="25" s="1"/>
  <c r="C26" i="25" s="1"/>
  <c r="C27" i="25" s="1"/>
  <c r="B22" i="25"/>
  <c r="K22" i="25" s="1"/>
  <c r="H9" i="25"/>
  <c r="Q9" i="25" s="1"/>
  <c r="G9" i="25"/>
  <c r="P9" i="25" s="1"/>
  <c r="F9" i="25"/>
  <c r="O9" i="25" s="1"/>
  <c r="E9" i="25"/>
  <c r="E10" i="25" s="1"/>
  <c r="D9" i="25"/>
  <c r="D10" i="25"/>
  <c r="D11" i="25" s="1"/>
  <c r="M10" i="25"/>
  <c r="C9" i="25"/>
  <c r="C10" i="25" s="1"/>
  <c r="B9" i="25"/>
  <c r="K9" i="25"/>
  <c r="Q8" i="25"/>
  <c r="P8" i="25"/>
  <c r="O8" i="25"/>
  <c r="N8" i="25"/>
  <c r="M8" i="25"/>
  <c r="L8" i="25"/>
  <c r="K8" i="25"/>
  <c r="H7" i="25"/>
  <c r="H6" i="25"/>
  <c r="H20" i="25" s="1"/>
  <c r="Q20" i="25" s="1"/>
  <c r="G7" i="25"/>
  <c r="G21" i="25"/>
  <c r="F7" i="25"/>
  <c r="F21" i="25"/>
  <c r="M21" i="25" s="1"/>
  <c r="E7" i="25"/>
  <c r="E21" i="25"/>
  <c r="N21" i="25"/>
  <c r="D7" i="25"/>
  <c r="D6" i="25" s="1"/>
  <c r="C7" i="25"/>
  <c r="C21" i="25"/>
  <c r="B7" i="25"/>
  <c r="K7" i="25" s="1"/>
  <c r="F6" i="25"/>
  <c r="F5" i="25" s="1"/>
  <c r="H22" i="23"/>
  <c r="H23" i="23" s="1"/>
  <c r="G22" i="23"/>
  <c r="G23" i="23"/>
  <c r="P23" i="23" s="1"/>
  <c r="F22" i="23"/>
  <c r="E22" i="23"/>
  <c r="D22" i="23"/>
  <c r="L22" i="23"/>
  <c r="C22" i="23"/>
  <c r="C23" i="23" s="1"/>
  <c r="C24" i="23" s="1"/>
  <c r="C25" i="23" s="1"/>
  <c r="C26" i="23" s="1"/>
  <c r="C27" i="23" s="1"/>
  <c r="B22" i="23"/>
  <c r="B23" i="23" s="1"/>
  <c r="H9" i="23"/>
  <c r="Q9" i="23" s="1"/>
  <c r="G9" i="23"/>
  <c r="P9" i="23" s="1"/>
  <c r="F9" i="23"/>
  <c r="F10" i="23" s="1"/>
  <c r="E9" i="23"/>
  <c r="N9" i="23"/>
  <c r="D9" i="23"/>
  <c r="D10" i="23" s="1"/>
  <c r="C9" i="23"/>
  <c r="C10" i="23"/>
  <c r="B9" i="23"/>
  <c r="B10" i="23" s="1"/>
  <c r="Q8" i="23"/>
  <c r="P8" i="23"/>
  <c r="O8" i="23"/>
  <c r="N8" i="23"/>
  <c r="M8" i="23"/>
  <c r="L8" i="23"/>
  <c r="K8" i="23"/>
  <c r="C7" i="23"/>
  <c r="C6" i="23" s="1"/>
  <c r="H7" i="23"/>
  <c r="H6" i="23" s="1"/>
  <c r="G7" i="23"/>
  <c r="G6" i="23" s="1"/>
  <c r="F7" i="23"/>
  <c r="O7" i="23" s="1"/>
  <c r="E7" i="23"/>
  <c r="E6" i="23" s="1"/>
  <c r="D7" i="23"/>
  <c r="D6" i="23" s="1"/>
  <c r="B7" i="23"/>
  <c r="H22" i="22"/>
  <c r="Q22" i="22"/>
  <c r="G22" i="22"/>
  <c r="P22" i="22" s="1"/>
  <c r="F22" i="22"/>
  <c r="M22" i="22" s="1"/>
  <c r="E22" i="22"/>
  <c r="E23" i="22" s="1"/>
  <c r="D22" i="22"/>
  <c r="D23" i="22"/>
  <c r="C22" i="22"/>
  <c r="C23" i="22" s="1"/>
  <c r="C24" i="22" s="1"/>
  <c r="C25" i="22" s="1"/>
  <c r="C26" i="22" s="1"/>
  <c r="C27" i="22" s="1"/>
  <c r="B22" i="22"/>
  <c r="B23" i="22"/>
  <c r="K23" i="22"/>
  <c r="C9" i="22"/>
  <c r="C10" i="22" s="1"/>
  <c r="H9" i="22"/>
  <c r="G9" i="22"/>
  <c r="P9" i="22" s="1"/>
  <c r="F9" i="22"/>
  <c r="O9" i="22"/>
  <c r="E9" i="22"/>
  <c r="E10" i="22" s="1"/>
  <c r="D9" i="22"/>
  <c r="L9" i="22"/>
  <c r="B9" i="22"/>
  <c r="K9" i="22" s="1"/>
  <c r="Q8" i="22"/>
  <c r="P8" i="22"/>
  <c r="O8" i="22"/>
  <c r="N8" i="22"/>
  <c r="M8" i="22"/>
  <c r="L8" i="22"/>
  <c r="K8" i="22"/>
  <c r="B7" i="22"/>
  <c r="K7" i="22"/>
  <c r="H7" i="22"/>
  <c r="H21" i="22" s="1"/>
  <c r="Q21" i="22" s="1"/>
  <c r="G7" i="22"/>
  <c r="G21" i="22" s="1"/>
  <c r="F7" i="22"/>
  <c r="F21" i="22"/>
  <c r="M21" i="22" s="1"/>
  <c r="E7" i="22"/>
  <c r="D7" i="22"/>
  <c r="D21" i="22"/>
  <c r="L21" i="22" s="1"/>
  <c r="C7" i="22"/>
  <c r="L7" i="22" s="1"/>
  <c r="B21" i="22"/>
  <c r="K21" i="22" s="1"/>
  <c r="B22" i="21"/>
  <c r="B23" i="21"/>
  <c r="B24" i="21" s="1"/>
  <c r="C22" i="21"/>
  <c r="C23" i="21" s="1"/>
  <c r="C24" i="21" s="1"/>
  <c r="C25" i="21" s="1"/>
  <c r="C26" i="21" s="1"/>
  <c r="C27" i="21" s="1"/>
  <c r="D22" i="21"/>
  <c r="D23" i="21" s="1"/>
  <c r="E22" i="21"/>
  <c r="E23" i="21" s="1"/>
  <c r="F22" i="21"/>
  <c r="F23" i="21" s="1"/>
  <c r="G22" i="21"/>
  <c r="G23" i="21" s="1"/>
  <c r="H22" i="21"/>
  <c r="H23" i="21" s="1"/>
  <c r="B9" i="21"/>
  <c r="B10" i="21" s="1"/>
  <c r="C9" i="21"/>
  <c r="C10" i="21" s="1"/>
  <c r="D9" i="21"/>
  <c r="M9" i="21" s="1"/>
  <c r="E9" i="21"/>
  <c r="E10" i="21" s="1"/>
  <c r="F9" i="21"/>
  <c r="F10" i="21" s="1"/>
  <c r="G9" i="21"/>
  <c r="G10" i="21" s="1"/>
  <c r="H9" i="21"/>
  <c r="H10" i="21" s="1"/>
  <c r="Q22" i="21"/>
  <c r="N22" i="21"/>
  <c r="K22" i="21"/>
  <c r="C7" i="21"/>
  <c r="C6" i="21" s="1"/>
  <c r="Q8" i="21"/>
  <c r="P8" i="21"/>
  <c r="O8" i="21"/>
  <c r="N8" i="21"/>
  <c r="M8" i="21"/>
  <c r="L8" i="21"/>
  <c r="K8" i="21"/>
  <c r="L7" i="21"/>
  <c r="H7" i="21"/>
  <c r="G7" i="21"/>
  <c r="G6" i="21" s="1"/>
  <c r="F7" i="21"/>
  <c r="E7" i="21"/>
  <c r="E21" i="21" s="1"/>
  <c r="N21" i="21" s="1"/>
  <c r="D7" i="21"/>
  <c r="B7" i="21"/>
  <c r="B6" i="21" s="1"/>
  <c r="F6" i="21"/>
  <c r="G20" i="20"/>
  <c r="O20" i="20" s="1"/>
  <c r="H20" i="20"/>
  <c r="Q20" i="20" s="1"/>
  <c r="F20" i="20"/>
  <c r="M20" i="20" s="1"/>
  <c r="E20" i="20"/>
  <c r="N20" i="20" s="1"/>
  <c r="D20" i="20"/>
  <c r="L20" i="20" s="1"/>
  <c r="C20" i="20"/>
  <c r="B20" i="20"/>
  <c r="K20" i="20" s="1"/>
  <c r="G7" i="20"/>
  <c r="P7" i="20" s="1"/>
  <c r="H7" i="20"/>
  <c r="Q7" i="20" s="1"/>
  <c r="F7" i="20"/>
  <c r="O7" i="20" s="1"/>
  <c r="E7" i="20"/>
  <c r="N7" i="20" s="1"/>
  <c r="D7" i="20"/>
  <c r="D21" i="20" s="1"/>
  <c r="L21" i="20" s="1"/>
  <c r="C7" i="20"/>
  <c r="L7" i="20" s="1"/>
  <c r="B7" i="20"/>
  <c r="K7" i="20"/>
  <c r="Q6" i="20"/>
  <c r="P6" i="20"/>
  <c r="O6" i="20"/>
  <c r="N6" i="20"/>
  <c r="M6" i="20"/>
  <c r="L6" i="20"/>
  <c r="K6" i="20"/>
  <c r="H5" i="20"/>
  <c r="H4" i="20" s="1"/>
  <c r="Q4" i="20" s="1"/>
  <c r="G5" i="20"/>
  <c r="G19" i="20" s="1"/>
  <c r="F5" i="20"/>
  <c r="F4" i="20" s="1"/>
  <c r="E5" i="20"/>
  <c r="E19" i="20" s="1"/>
  <c r="N19" i="20" s="1"/>
  <c r="D5" i="20"/>
  <c r="D19" i="20"/>
  <c r="L19" i="20" s="1"/>
  <c r="C5" i="20"/>
  <c r="C19" i="20" s="1"/>
  <c r="B5" i="20"/>
  <c r="B19" i="20" s="1"/>
  <c r="K19" i="20" s="1"/>
  <c r="H20" i="19"/>
  <c r="Q20" i="19" s="1"/>
  <c r="G20" i="19"/>
  <c r="P20" i="19" s="1"/>
  <c r="F20" i="19"/>
  <c r="M20" i="19" s="1"/>
  <c r="E20" i="19"/>
  <c r="N20" i="19" s="1"/>
  <c r="D20" i="19"/>
  <c r="L20" i="19" s="1"/>
  <c r="C20" i="19"/>
  <c r="B20" i="19"/>
  <c r="K20" i="19" s="1"/>
  <c r="H7" i="19"/>
  <c r="H21" i="19" s="1"/>
  <c r="Q21" i="19" s="1"/>
  <c r="G7" i="19"/>
  <c r="F7" i="19"/>
  <c r="F21" i="19" s="1"/>
  <c r="M21" i="19" s="1"/>
  <c r="E7" i="19"/>
  <c r="E8" i="19" s="1"/>
  <c r="D7" i="19"/>
  <c r="D21" i="19" s="1"/>
  <c r="L21" i="19" s="1"/>
  <c r="C7" i="19"/>
  <c r="B7" i="19"/>
  <c r="B21" i="19" s="1"/>
  <c r="K21" i="19" s="1"/>
  <c r="Q6" i="19"/>
  <c r="P6" i="19"/>
  <c r="O6" i="19"/>
  <c r="N6" i="19"/>
  <c r="M6" i="19"/>
  <c r="L6" i="19"/>
  <c r="K6" i="19"/>
  <c r="H5" i="19"/>
  <c r="G5" i="19"/>
  <c r="G4" i="19" s="1"/>
  <c r="F5" i="19"/>
  <c r="F4" i="19"/>
  <c r="F3" i="19"/>
  <c r="E5" i="19"/>
  <c r="N5" i="19" s="1"/>
  <c r="D5" i="19"/>
  <c r="D4" i="19"/>
  <c r="C5" i="19"/>
  <c r="C4" i="19" s="1"/>
  <c r="B5" i="19"/>
  <c r="B4" i="19" s="1"/>
  <c r="H20" i="18"/>
  <c r="Q20" i="18" s="1"/>
  <c r="G20" i="18"/>
  <c r="P20" i="18" s="1"/>
  <c r="F20" i="18"/>
  <c r="M20" i="18" s="1"/>
  <c r="E20" i="18"/>
  <c r="N20" i="18" s="1"/>
  <c r="D20" i="18"/>
  <c r="L20" i="18" s="1"/>
  <c r="C20" i="18"/>
  <c r="B20" i="18"/>
  <c r="K20" i="18" s="1"/>
  <c r="H7" i="18"/>
  <c r="Q7" i="18" s="1"/>
  <c r="G7" i="18"/>
  <c r="G8" i="18" s="1"/>
  <c r="F7" i="18"/>
  <c r="F21" i="18" s="1"/>
  <c r="M21" i="18" s="1"/>
  <c r="E7" i="18"/>
  <c r="N7" i="18" s="1"/>
  <c r="D7" i="18"/>
  <c r="M7" i="18"/>
  <c r="C7" i="18"/>
  <c r="C21" i="18" s="1"/>
  <c r="B7" i="18"/>
  <c r="B21" i="18" s="1"/>
  <c r="K21" i="18" s="1"/>
  <c r="Q6" i="18"/>
  <c r="P6" i="18"/>
  <c r="O6" i="18"/>
  <c r="N6" i="18"/>
  <c r="M6" i="18"/>
  <c r="L6" i="18"/>
  <c r="K6" i="18"/>
  <c r="C5" i="18"/>
  <c r="L5" i="18" s="1"/>
  <c r="H5" i="18"/>
  <c r="H19" i="18" s="1"/>
  <c r="Q19" i="18" s="1"/>
  <c r="G5" i="18"/>
  <c r="G4" i="18" s="1"/>
  <c r="F5" i="18"/>
  <c r="F19" i="18" s="1"/>
  <c r="M19" i="18" s="1"/>
  <c r="E5" i="18"/>
  <c r="E19" i="18" s="1"/>
  <c r="N19" i="18" s="1"/>
  <c r="D5" i="18"/>
  <c r="D19" i="18" s="1"/>
  <c r="L19" i="18" s="1"/>
  <c r="B5" i="18"/>
  <c r="B19" i="18" s="1"/>
  <c r="K19" i="18" s="1"/>
  <c r="G20" i="15"/>
  <c r="P20" i="15" s="1"/>
  <c r="H20" i="15"/>
  <c r="Q20" i="15" s="1"/>
  <c r="F20" i="15"/>
  <c r="M20" i="15" s="1"/>
  <c r="E20" i="15"/>
  <c r="N20" i="15" s="1"/>
  <c r="D20" i="15"/>
  <c r="L20" i="15" s="1"/>
  <c r="C20" i="15"/>
  <c r="B20" i="15"/>
  <c r="K20" i="15" s="1"/>
  <c r="H7" i="15"/>
  <c r="H21" i="15" s="1"/>
  <c r="Q21" i="15" s="1"/>
  <c r="G7" i="15"/>
  <c r="F7" i="15"/>
  <c r="E7" i="15"/>
  <c r="N7" i="15" s="1"/>
  <c r="D7" i="15"/>
  <c r="D8" i="15" s="1"/>
  <c r="C7" i="15"/>
  <c r="L7" i="15" s="1"/>
  <c r="B7" i="15"/>
  <c r="Q6" i="15"/>
  <c r="P6" i="15"/>
  <c r="O6" i="15"/>
  <c r="N6" i="15"/>
  <c r="M6" i="15"/>
  <c r="L6" i="15"/>
  <c r="K6" i="15"/>
  <c r="H5" i="15"/>
  <c r="H4" i="15"/>
  <c r="H3" i="15" s="1"/>
  <c r="G5" i="15"/>
  <c r="F5" i="15"/>
  <c r="F19" i="15" s="1"/>
  <c r="M19" i="15" s="1"/>
  <c r="E5" i="15"/>
  <c r="E19" i="15"/>
  <c r="N19" i="15" s="1"/>
  <c r="D5" i="15"/>
  <c r="D4" i="15" s="1"/>
  <c r="C5" i="15"/>
  <c r="B5" i="15"/>
  <c r="B19" i="15"/>
  <c r="K19" i="15" s="1"/>
  <c r="F4" i="15"/>
  <c r="O4" i="15" s="1"/>
  <c r="B5" i="17"/>
  <c r="K5" i="17" s="1"/>
  <c r="C5" i="17"/>
  <c r="L5" i="17" s="1"/>
  <c r="D5" i="17"/>
  <c r="M5" i="17" s="1"/>
  <c r="E5" i="17"/>
  <c r="N5" i="17" s="1"/>
  <c r="F5" i="17"/>
  <c r="O5" i="17" s="1"/>
  <c r="G5" i="17"/>
  <c r="P5" i="17" s="1"/>
  <c r="H5" i="17"/>
  <c r="Q5" i="17" s="1"/>
  <c r="B19" i="17"/>
  <c r="E19" i="17"/>
  <c r="N19" i="17" s="1"/>
  <c r="B20" i="17"/>
  <c r="K20" i="17" s="1"/>
  <c r="C20" i="17"/>
  <c r="D20" i="17"/>
  <c r="L20" i="17" s="1"/>
  <c r="E20" i="17"/>
  <c r="F20" i="17"/>
  <c r="G20" i="17"/>
  <c r="P20" i="17" s="1"/>
  <c r="H20" i="17"/>
  <c r="B7" i="17"/>
  <c r="K7" i="17" s="1"/>
  <c r="C7" i="17"/>
  <c r="L7" i="17" s="1"/>
  <c r="D7" i="17"/>
  <c r="M7" i="17" s="1"/>
  <c r="E7" i="17"/>
  <c r="N7" i="17" s="1"/>
  <c r="F7" i="17"/>
  <c r="O7" i="17" s="1"/>
  <c r="G7" i="17"/>
  <c r="P7" i="17" s="1"/>
  <c r="H7" i="17"/>
  <c r="Q7" i="17" s="1"/>
  <c r="G8" i="17"/>
  <c r="P8" i="17" s="1"/>
  <c r="Q20" i="17"/>
  <c r="O20" i="17"/>
  <c r="N20" i="17"/>
  <c r="M20" i="17"/>
  <c r="K19" i="17"/>
  <c r="H20" i="16"/>
  <c r="Q20" i="16" s="1"/>
  <c r="G20" i="16"/>
  <c r="P20" i="16" s="1"/>
  <c r="F20" i="16"/>
  <c r="M20" i="16" s="1"/>
  <c r="E20" i="16"/>
  <c r="N20" i="16" s="1"/>
  <c r="D20" i="16"/>
  <c r="L20" i="16" s="1"/>
  <c r="C20" i="16"/>
  <c r="B20" i="16"/>
  <c r="K20" i="16" s="1"/>
  <c r="H7" i="16"/>
  <c r="Q7" i="16" s="1"/>
  <c r="G7" i="16"/>
  <c r="P7" i="16" s="1"/>
  <c r="F7" i="16"/>
  <c r="F21" i="16" s="1"/>
  <c r="M21" i="16" s="1"/>
  <c r="E7" i="16"/>
  <c r="E21" i="16" s="1"/>
  <c r="N21" i="16" s="1"/>
  <c r="D7" i="16"/>
  <c r="M7" i="16" s="1"/>
  <c r="C7" i="16"/>
  <c r="L7" i="16" s="1"/>
  <c r="B7" i="16"/>
  <c r="B21" i="16" s="1"/>
  <c r="K21" i="16" s="1"/>
  <c r="Q6" i="16"/>
  <c r="P6" i="16"/>
  <c r="O6" i="16"/>
  <c r="N6" i="16"/>
  <c r="M6" i="16"/>
  <c r="L6" i="16"/>
  <c r="K6" i="16"/>
  <c r="H5" i="16"/>
  <c r="H19" i="16" s="1"/>
  <c r="Q19" i="16" s="1"/>
  <c r="G5" i="16"/>
  <c r="G4" i="16"/>
  <c r="F5" i="16"/>
  <c r="F4" i="16" s="1"/>
  <c r="E5" i="16"/>
  <c r="E19" i="16" s="1"/>
  <c r="N19" i="16" s="1"/>
  <c r="D5" i="16"/>
  <c r="D19" i="16" s="1"/>
  <c r="L19" i="16" s="1"/>
  <c r="C5" i="16"/>
  <c r="C4" i="16" s="1"/>
  <c r="B5" i="16"/>
  <c r="B4" i="16" s="1"/>
  <c r="G6" i="26"/>
  <c r="P6" i="26" s="1"/>
  <c r="G21" i="26"/>
  <c r="P21" i="26" s="1"/>
  <c r="N22" i="26"/>
  <c r="E10" i="26"/>
  <c r="N10" i="26" s="1"/>
  <c r="M9" i="26"/>
  <c r="B11" i="26"/>
  <c r="B12" i="26" s="1"/>
  <c r="B24" i="26"/>
  <c r="K24" i="26" s="1"/>
  <c r="K23" i="26"/>
  <c r="K9" i="26"/>
  <c r="C21" i="26"/>
  <c r="C6" i="26"/>
  <c r="C5" i="26" s="1"/>
  <c r="Q9" i="26"/>
  <c r="Q22" i="26"/>
  <c r="M10" i="26"/>
  <c r="D24" i="26"/>
  <c r="K11" i="26"/>
  <c r="P23" i="26"/>
  <c r="O23" i="26"/>
  <c r="Q10" i="26"/>
  <c r="H11" i="26"/>
  <c r="Q23" i="26"/>
  <c r="H24" i="26"/>
  <c r="G5" i="26"/>
  <c r="E6" i="26"/>
  <c r="Q7" i="26"/>
  <c r="L9" i="26"/>
  <c r="P9" i="26"/>
  <c r="B20" i="26"/>
  <c r="K20" i="26" s="1"/>
  <c r="D21" i="26"/>
  <c r="L21" i="26" s="1"/>
  <c r="L22" i="26"/>
  <c r="P22" i="26"/>
  <c r="K7" i="26"/>
  <c r="O7" i="26"/>
  <c r="O22" i="26"/>
  <c r="K23" i="24"/>
  <c r="L7" i="24"/>
  <c r="N7" i="24"/>
  <c r="O7" i="24"/>
  <c r="M22" i="24"/>
  <c r="P21" i="24"/>
  <c r="O21" i="24"/>
  <c r="P6" i="24"/>
  <c r="P7" i="24"/>
  <c r="G20" i="24"/>
  <c r="O20" i="24" s="1"/>
  <c r="G11" i="24"/>
  <c r="P11" i="24" s="1"/>
  <c r="M10" i="24"/>
  <c r="D20" i="24"/>
  <c r="L20" i="24" s="1"/>
  <c r="M6" i="24"/>
  <c r="M7" i="24"/>
  <c r="Q7" i="24"/>
  <c r="P9" i="24"/>
  <c r="D21" i="24"/>
  <c r="L21" i="24" s="1"/>
  <c r="H21" i="24"/>
  <c r="Q21" i="24" s="1"/>
  <c r="L22" i="25"/>
  <c r="M9" i="25"/>
  <c r="Q22" i="25"/>
  <c r="E6" i="25"/>
  <c r="E20" i="25" s="1"/>
  <c r="N20" i="25" s="1"/>
  <c r="N7" i="25"/>
  <c r="M22" i="25"/>
  <c r="P21" i="25"/>
  <c r="O21" i="25"/>
  <c r="H5" i="25"/>
  <c r="Q5" i="25" s="1"/>
  <c r="Q7" i="25"/>
  <c r="L9" i="25"/>
  <c r="H21" i="25"/>
  <c r="Q21" i="25" s="1"/>
  <c r="C6" i="25"/>
  <c r="C5" i="25" s="1"/>
  <c r="G6" i="25"/>
  <c r="O7" i="25"/>
  <c r="B10" i="25"/>
  <c r="K10" i="25" s="1"/>
  <c r="F10" i="25"/>
  <c r="B23" i="25"/>
  <c r="B24" i="25" s="1"/>
  <c r="L7" i="25"/>
  <c r="P7" i="25"/>
  <c r="O22" i="25"/>
  <c r="N7" i="23"/>
  <c r="K22" i="23"/>
  <c r="L9" i="23"/>
  <c r="M9" i="23"/>
  <c r="D23" i="23"/>
  <c r="L23" i="23" s="1"/>
  <c r="D24" i="23"/>
  <c r="O22" i="23"/>
  <c r="P7" i="23"/>
  <c r="G21" i="23"/>
  <c r="P21" i="23" s="1"/>
  <c r="P22" i="23"/>
  <c r="H21" i="23"/>
  <c r="Q21" i="23" s="1"/>
  <c r="Q7" i="23"/>
  <c r="L10" i="23"/>
  <c r="C11" i="23"/>
  <c r="O21" i="23"/>
  <c r="N22" i="23"/>
  <c r="E23" i="23"/>
  <c r="B21" i="23"/>
  <c r="K21" i="23" s="1"/>
  <c r="K7" i="23"/>
  <c r="F23" i="23"/>
  <c r="M22" i="23"/>
  <c r="O9" i="23"/>
  <c r="B6" i="23"/>
  <c r="K9" i="23"/>
  <c r="E10" i="23"/>
  <c r="G24" i="23"/>
  <c r="O23" i="23"/>
  <c r="C21" i="22"/>
  <c r="P7" i="22"/>
  <c r="O7" i="22"/>
  <c r="N9" i="22"/>
  <c r="N22" i="22"/>
  <c r="G23" i="22"/>
  <c r="O23" i="22" s="1"/>
  <c r="G6" i="22"/>
  <c r="G5" i="22" s="1"/>
  <c r="B10" i="22"/>
  <c r="K10" i="22" s="1"/>
  <c r="K22" i="22"/>
  <c r="O22" i="22"/>
  <c r="H6" i="22"/>
  <c r="H5" i="22" s="1"/>
  <c r="F23" i="22"/>
  <c r="M23" i="22" s="1"/>
  <c r="F10" i="22"/>
  <c r="F11" i="22"/>
  <c r="D6" i="22"/>
  <c r="D5" i="22" s="1"/>
  <c r="G10" i="22"/>
  <c r="Q9" i="22"/>
  <c r="H10" i="22"/>
  <c r="E21" i="22"/>
  <c r="N21" i="22" s="1"/>
  <c r="N7" i="22"/>
  <c r="E6" i="22"/>
  <c r="M9" i="22"/>
  <c r="D10" i="22"/>
  <c r="D24" i="22"/>
  <c r="L23" i="22"/>
  <c r="M7" i="22"/>
  <c r="Q7" i="22"/>
  <c r="L22" i="22"/>
  <c r="H23" i="22"/>
  <c r="B24" i="22"/>
  <c r="B6" i="22"/>
  <c r="F6" i="22"/>
  <c r="O9" i="21"/>
  <c r="G21" i="21"/>
  <c r="P21" i="21" s="1"/>
  <c r="P7" i="21"/>
  <c r="N7" i="21"/>
  <c r="K9" i="21"/>
  <c r="F20" i="21"/>
  <c r="M20" i="21"/>
  <c r="O6" i="21"/>
  <c r="D21" i="21"/>
  <c r="L21" i="21" s="1"/>
  <c r="M7" i="21"/>
  <c r="H21" i="21"/>
  <c r="Q21" i="21" s="1"/>
  <c r="Q7" i="21"/>
  <c r="L9" i="21"/>
  <c r="P9" i="21"/>
  <c r="F5" i="21"/>
  <c r="D6" i="21"/>
  <c r="H6" i="21"/>
  <c r="B21" i="21"/>
  <c r="K21" i="21" s="1"/>
  <c r="K7" i="21"/>
  <c r="F21" i="21"/>
  <c r="M21" i="21" s="1"/>
  <c r="O7" i="21"/>
  <c r="N9" i="21"/>
  <c r="O22" i="21"/>
  <c r="Q5" i="20"/>
  <c r="H8" i="20"/>
  <c r="H9" i="20" s="1"/>
  <c r="H21" i="20"/>
  <c r="Q21" i="20" s="1"/>
  <c r="G8" i="20"/>
  <c r="G22" i="20" s="1"/>
  <c r="E4" i="20"/>
  <c r="E18" i="20" s="1"/>
  <c r="N18" i="20" s="1"/>
  <c r="M5" i="20"/>
  <c r="D4" i="20"/>
  <c r="D18" i="20" s="1"/>
  <c r="L18" i="20" s="1"/>
  <c r="B4" i="20"/>
  <c r="N5" i="20"/>
  <c r="E21" i="20"/>
  <c r="N21" i="20" s="1"/>
  <c r="C4" i="20"/>
  <c r="C18" i="20" s="1"/>
  <c r="G4" i="20"/>
  <c r="M4" i="20"/>
  <c r="K5" i="20"/>
  <c r="B8" i="20"/>
  <c r="F8" i="20"/>
  <c r="O8" i="20" s="1"/>
  <c r="B21" i="20"/>
  <c r="K21" i="20" s="1"/>
  <c r="F21" i="20"/>
  <c r="M21" i="20" s="1"/>
  <c r="H22" i="20"/>
  <c r="Q22" i="20" s="1"/>
  <c r="P5" i="20"/>
  <c r="H8" i="19"/>
  <c r="H22" i="19" s="1"/>
  <c r="Q22" i="19" s="1"/>
  <c r="Q7" i="19"/>
  <c r="G19" i="19"/>
  <c r="O19" i="19" s="1"/>
  <c r="P5" i="19"/>
  <c r="E19" i="19"/>
  <c r="N19" i="19" s="1"/>
  <c r="O20" i="19"/>
  <c r="O7" i="19"/>
  <c r="D8" i="19"/>
  <c r="D9" i="19" s="1"/>
  <c r="M7" i="19"/>
  <c r="L5" i="19"/>
  <c r="C19" i="19"/>
  <c r="K7" i="19"/>
  <c r="D18" i="19"/>
  <c r="L18" i="19" s="1"/>
  <c r="M4" i="19"/>
  <c r="D3" i="19"/>
  <c r="D19" i="19"/>
  <c r="L19" i="19" s="1"/>
  <c r="M5" i="19"/>
  <c r="H19" i="19"/>
  <c r="Q19" i="19" s="1"/>
  <c r="Q5" i="19"/>
  <c r="L7" i="19"/>
  <c r="C21" i="19"/>
  <c r="P7" i="19"/>
  <c r="G21" i="19"/>
  <c r="F17" i="19"/>
  <c r="M17" i="19" s="1"/>
  <c r="O3" i="19"/>
  <c r="F18" i="19"/>
  <c r="M18" i="19" s="1"/>
  <c r="O4" i="19"/>
  <c r="G8" i="19"/>
  <c r="H4" i="19"/>
  <c r="B19" i="19"/>
  <c r="K19" i="19" s="1"/>
  <c r="K5" i="19"/>
  <c r="F19" i="19"/>
  <c r="M19" i="19" s="1"/>
  <c r="O5" i="19"/>
  <c r="N7" i="19"/>
  <c r="E21" i="19"/>
  <c r="N21" i="19" s="1"/>
  <c r="C8" i="19"/>
  <c r="B8" i="19"/>
  <c r="F8" i="19"/>
  <c r="H9" i="19"/>
  <c r="O20" i="18"/>
  <c r="H4" i="18"/>
  <c r="H18" i="18" s="1"/>
  <c r="Q18" i="18" s="1"/>
  <c r="G19" i="18"/>
  <c r="P19" i="18" s="1"/>
  <c r="O7" i="18"/>
  <c r="M5" i="18"/>
  <c r="E4" i="18"/>
  <c r="K7" i="18"/>
  <c r="C8" i="18"/>
  <c r="L8" i="18" s="1"/>
  <c r="Q5" i="18"/>
  <c r="L7" i="18"/>
  <c r="D8" i="18"/>
  <c r="H8" i="18"/>
  <c r="D21" i="18"/>
  <c r="L21" i="18" s="1"/>
  <c r="H21" i="18"/>
  <c r="Q21" i="18" s="1"/>
  <c r="B4" i="18"/>
  <c r="F4" i="18"/>
  <c r="N5" i="18"/>
  <c r="E8" i="18"/>
  <c r="E21" i="18"/>
  <c r="N21" i="18" s="1"/>
  <c r="K5" i="18"/>
  <c r="O5" i="18"/>
  <c r="B8" i="18"/>
  <c r="F8" i="18"/>
  <c r="Q7" i="15"/>
  <c r="H8" i="15"/>
  <c r="Q8" i="15" s="1"/>
  <c r="E4" i="15"/>
  <c r="N4" i="15" s="1"/>
  <c r="E21" i="15"/>
  <c r="N21" i="15"/>
  <c r="E8" i="15"/>
  <c r="N8" i="15" s="1"/>
  <c r="D21" i="15"/>
  <c r="L21" i="15" s="1"/>
  <c r="M7" i="15"/>
  <c r="B4" i="15"/>
  <c r="K4" i="15" s="1"/>
  <c r="N5" i="15"/>
  <c r="H18" i="15"/>
  <c r="Q18" i="15" s="1"/>
  <c r="Q4" i="15"/>
  <c r="G21" i="15"/>
  <c r="G8" i="15"/>
  <c r="P7" i="15"/>
  <c r="D19" i="15"/>
  <c r="L19" i="15" s="1"/>
  <c r="M5" i="15"/>
  <c r="F18" i="15"/>
  <c r="M18" i="15"/>
  <c r="H19" i="15"/>
  <c r="Q19" i="15" s="1"/>
  <c r="E18" i="15"/>
  <c r="N18" i="15" s="1"/>
  <c r="C21" i="15"/>
  <c r="C8" i="15"/>
  <c r="H22" i="15"/>
  <c r="Q22" i="15" s="1"/>
  <c r="H9" i="15"/>
  <c r="C19" i="15"/>
  <c r="L5" i="15"/>
  <c r="C4" i="15"/>
  <c r="G19" i="15"/>
  <c r="P5" i="15"/>
  <c r="G4" i="15"/>
  <c r="Q5" i="15"/>
  <c r="K7" i="15"/>
  <c r="B21" i="15"/>
  <c r="K21" i="15"/>
  <c r="B8" i="15"/>
  <c r="O7" i="15"/>
  <c r="F21" i="15"/>
  <c r="M21" i="15"/>
  <c r="F8" i="15"/>
  <c r="K5" i="15"/>
  <c r="O5" i="15"/>
  <c r="H4" i="16"/>
  <c r="Q4" i="16" s="1"/>
  <c r="Q5" i="16"/>
  <c r="P5" i="16"/>
  <c r="L5" i="16"/>
  <c r="O7" i="16"/>
  <c r="C19" i="16"/>
  <c r="G21" i="16"/>
  <c r="O21" i="16" s="1"/>
  <c r="D4" i="16"/>
  <c r="D18" i="16" s="1"/>
  <c r="L18" i="16" s="1"/>
  <c r="M5" i="16"/>
  <c r="C8" i="16"/>
  <c r="C22" i="16" s="1"/>
  <c r="G19" i="16"/>
  <c r="O19" i="16" s="1"/>
  <c r="E4" i="16"/>
  <c r="N5" i="16"/>
  <c r="G8" i="16"/>
  <c r="G22" i="16" s="1"/>
  <c r="O20" i="16"/>
  <c r="K7" i="16"/>
  <c r="C21" i="16"/>
  <c r="G18" i="16"/>
  <c r="P4" i="16"/>
  <c r="G3" i="16"/>
  <c r="K5" i="16"/>
  <c r="O5" i="16"/>
  <c r="N7" i="16"/>
  <c r="B8" i="16"/>
  <c r="F8" i="16"/>
  <c r="L8" i="16"/>
  <c r="H18" i="16"/>
  <c r="Q18" i="16" s="1"/>
  <c r="B19" i="16"/>
  <c r="K19" i="16" s="1"/>
  <c r="F19" i="16"/>
  <c r="M19" i="16" s="1"/>
  <c r="D8" i="16"/>
  <c r="H8" i="16"/>
  <c r="D21" i="16"/>
  <c r="L21" i="16" s="1"/>
  <c r="H21" i="16"/>
  <c r="Q21" i="16"/>
  <c r="E8" i="16"/>
  <c r="C9" i="16"/>
  <c r="B5" i="14"/>
  <c r="B4" i="14" s="1"/>
  <c r="C5" i="14"/>
  <c r="C4" i="14" s="1"/>
  <c r="F5" i="14"/>
  <c r="F4" i="14" s="1"/>
  <c r="G5" i="14"/>
  <c r="G4" i="14" s="1"/>
  <c r="D5" i="14"/>
  <c r="D4" i="14" s="1"/>
  <c r="E5" i="14"/>
  <c r="N5" i="14" s="1"/>
  <c r="H5" i="14"/>
  <c r="H4" i="14" s="1"/>
  <c r="B7" i="14"/>
  <c r="B8" i="14"/>
  <c r="B9" i="14" s="1"/>
  <c r="C7" i="14"/>
  <c r="C21" i="14" s="1"/>
  <c r="D7" i="14"/>
  <c r="D21" i="14" s="1"/>
  <c r="L21" i="14" s="1"/>
  <c r="E7" i="14"/>
  <c r="E8" i="14" s="1"/>
  <c r="F7" i="14"/>
  <c r="F21" i="14" s="1"/>
  <c r="M21" i="14" s="1"/>
  <c r="G7" i="14"/>
  <c r="G8" i="14" s="1"/>
  <c r="H7" i="14"/>
  <c r="H8" i="14" s="1"/>
  <c r="E21" i="14"/>
  <c r="N21" i="14" s="1"/>
  <c r="Q7" i="14"/>
  <c r="M7" i="14"/>
  <c r="G21" i="14"/>
  <c r="O21" i="14" s="1"/>
  <c r="B21" i="14"/>
  <c r="K21" i="14" s="1"/>
  <c r="B20" i="14"/>
  <c r="K20" i="14" s="1"/>
  <c r="H20" i="14"/>
  <c r="Q20" i="14" s="1"/>
  <c r="G20" i="14"/>
  <c r="P20" i="14" s="1"/>
  <c r="F20" i="14"/>
  <c r="M20" i="14" s="1"/>
  <c r="E20" i="14"/>
  <c r="N20" i="14" s="1"/>
  <c r="D20" i="14"/>
  <c r="L20" i="14"/>
  <c r="C20" i="14"/>
  <c r="P7" i="14"/>
  <c r="Q6" i="14"/>
  <c r="P6" i="14"/>
  <c r="O6" i="14"/>
  <c r="N6" i="14"/>
  <c r="M6" i="14"/>
  <c r="L6" i="14"/>
  <c r="K6" i="14"/>
  <c r="H19" i="14"/>
  <c r="Q19" i="14" s="1"/>
  <c r="D19" i="14"/>
  <c r="L19" i="14" s="1"/>
  <c r="B5" i="13"/>
  <c r="B4" i="13" s="1"/>
  <c r="F5" i="13"/>
  <c r="F4" i="13" s="1"/>
  <c r="G5" i="13"/>
  <c r="G4" i="13" s="1"/>
  <c r="C5" i="13"/>
  <c r="C4" i="13" s="1"/>
  <c r="D5" i="13"/>
  <c r="D19" i="13" s="1"/>
  <c r="L19" i="13" s="1"/>
  <c r="E5" i="13"/>
  <c r="E4" i="13" s="1"/>
  <c r="H5" i="13"/>
  <c r="H4" i="13" s="1"/>
  <c r="B7" i="13"/>
  <c r="B8" i="13" s="1"/>
  <c r="C7" i="13"/>
  <c r="C8" i="13" s="1"/>
  <c r="D7" i="13"/>
  <c r="D8" i="13" s="1"/>
  <c r="E7" i="13"/>
  <c r="N7" i="13" s="1"/>
  <c r="F7" i="13"/>
  <c r="F8" i="13" s="1"/>
  <c r="G7" i="13"/>
  <c r="P7" i="13" s="1"/>
  <c r="H7" i="13"/>
  <c r="H8" i="13" s="1"/>
  <c r="H21" i="13"/>
  <c r="Q21" i="13" s="1"/>
  <c r="G21" i="13"/>
  <c r="O21" i="13" s="1"/>
  <c r="E21" i="13"/>
  <c r="N21" i="13" s="1"/>
  <c r="C21" i="13"/>
  <c r="F20" i="13"/>
  <c r="M20" i="13" s="1"/>
  <c r="B20" i="13"/>
  <c r="K20" i="13" s="1"/>
  <c r="O7" i="13"/>
  <c r="M7" i="13"/>
  <c r="K7" i="13"/>
  <c r="Q6" i="13"/>
  <c r="O6" i="13"/>
  <c r="M6" i="13"/>
  <c r="K6" i="13"/>
  <c r="H20" i="13"/>
  <c r="Q20" i="13" s="1"/>
  <c r="G20" i="13"/>
  <c r="E20" i="13"/>
  <c r="N20" i="13" s="1"/>
  <c r="D20" i="13"/>
  <c r="L20" i="13" s="1"/>
  <c r="C20" i="13"/>
  <c r="O5" i="13"/>
  <c r="M5" i="13"/>
  <c r="K5" i="13"/>
  <c r="B19" i="13"/>
  <c r="K19" i="13" s="1"/>
  <c r="C6" i="12"/>
  <c r="C5" i="12" s="1"/>
  <c r="G6" i="12"/>
  <c r="G5" i="12" s="1"/>
  <c r="D6" i="12"/>
  <c r="D5" i="12" s="1"/>
  <c r="H6" i="12"/>
  <c r="H5" i="12" s="1"/>
  <c r="B6" i="12"/>
  <c r="B5" i="12" s="1"/>
  <c r="E6" i="12"/>
  <c r="E5" i="12" s="1"/>
  <c r="F6" i="12"/>
  <c r="F5" i="12" s="1"/>
  <c r="B8" i="12"/>
  <c r="B22" i="12" s="1"/>
  <c r="K22" i="12" s="1"/>
  <c r="C8" i="12"/>
  <c r="C9" i="12" s="1"/>
  <c r="D8" i="12"/>
  <c r="D9" i="12"/>
  <c r="M9" i="12" s="1"/>
  <c r="E8" i="12"/>
  <c r="E9" i="12" s="1"/>
  <c r="F8" i="12"/>
  <c r="F9" i="12" s="1"/>
  <c r="G8" i="12"/>
  <c r="G9" i="12" s="1"/>
  <c r="H8" i="12"/>
  <c r="H9" i="12" s="1"/>
  <c r="N8" i="12"/>
  <c r="F22" i="12"/>
  <c r="M22" i="12" s="1"/>
  <c r="H21" i="12"/>
  <c r="Q21" i="12" s="1"/>
  <c r="G21" i="12"/>
  <c r="O21" i="12" s="1"/>
  <c r="F21" i="12"/>
  <c r="M21" i="12" s="1"/>
  <c r="E21" i="12"/>
  <c r="N21" i="12" s="1"/>
  <c r="D21" i="12"/>
  <c r="L21" i="12" s="1"/>
  <c r="C21" i="12"/>
  <c r="B21" i="12"/>
  <c r="K21" i="12"/>
  <c r="B20" i="12"/>
  <c r="K20" i="12" s="1"/>
  <c r="L8" i="12"/>
  <c r="Q8" i="12"/>
  <c r="O8" i="12"/>
  <c r="E22" i="12"/>
  <c r="N22" i="12" s="1"/>
  <c r="M8" i="12"/>
  <c r="C22" i="12"/>
  <c r="Q7" i="12"/>
  <c r="P7" i="12"/>
  <c r="O7" i="12"/>
  <c r="N7" i="12"/>
  <c r="M7" i="12"/>
  <c r="L7" i="12"/>
  <c r="K7" i="12"/>
  <c r="M6" i="12"/>
  <c r="K6" i="12"/>
  <c r="G20" i="12"/>
  <c r="D20" i="12"/>
  <c r="L20" i="12" s="1"/>
  <c r="C20" i="12"/>
  <c r="B5" i="10"/>
  <c r="B4" i="10" s="1"/>
  <c r="B18" i="10" s="1"/>
  <c r="K18" i="10" s="1"/>
  <c r="C5" i="10"/>
  <c r="C4" i="10" s="1"/>
  <c r="F5" i="10"/>
  <c r="F4" i="10" s="1"/>
  <c r="O4" i="10" s="1"/>
  <c r="G5" i="10"/>
  <c r="G4" i="10" s="1"/>
  <c r="D5" i="10"/>
  <c r="D4" i="10" s="1"/>
  <c r="E5" i="10"/>
  <c r="E19" i="10" s="1"/>
  <c r="N19" i="10" s="1"/>
  <c r="H5" i="10"/>
  <c r="H4" i="10" s="1"/>
  <c r="Q4" i="10" s="1"/>
  <c r="N5" i="10"/>
  <c r="C7" i="10"/>
  <c r="C8" i="10" s="1"/>
  <c r="D7" i="10"/>
  <c r="D21" i="10" s="1"/>
  <c r="L21" i="10" s="1"/>
  <c r="E7" i="10"/>
  <c r="E8" i="10" s="1"/>
  <c r="F7" i="10"/>
  <c r="O7" i="10" s="1"/>
  <c r="G7" i="10"/>
  <c r="P7" i="10" s="1"/>
  <c r="H7" i="10"/>
  <c r="H21" i="10"/>
  <c r="Q21" i="10" s="1"/>
  <c r="B7" i="10"/>
  <c r="B21" i="10" s="1"/>
  <c r="K21" i="10" s="1"/>
  <c r="E21" i="10"/>
  <c r="N21" i="10" s="1"/>
  <c r="G8" i="8"/>
  <c r="G9" i="8" s="1"/>
  <c r="C8" i="8"/>
  <c r="C9" i="8" s="1"/>
  <c r="H8" i="8"/>
  <c r="H9" i="8" s="1"/>
  <c r="F8" i="8"/>
  <c r="F9" i="8" s="1"/>
  <c r="E8" i="8"/>
  <c r="E9" i="8" s="1"/>
  <c r="D8" i="8"/>
  <c r="D9" i="8" s="1"/>
  <c r="B8" i="8"/>
  <c r="B9" i="8" s="1"/>
  <c r="H6" i="8"/>
  <c r="G6" i="8"/>
  <c r="G5" i="8" s="1"/>
  <c r="F6" i="8"/>
  <c r="E6" i="8"/>
  <c r="E5" i="8" s="1"/>
  <c r="D6" i="8"/>
  <c r="M6" i="8" s="1"/>
  <c r="C6" i="8"/>
  <c r="C5" i="8" s="1"/>
  <c r="B6" i="8"/>
  <c r="H5" i="8"/>
  <c r="H4" i="8" s="1"/>
  <c r="F5" i="8"/>
  <c r="O5" i="8" s="1"/>
  <c r="D5" i="8"/>
  <c r="D4" i="8" s="1"/>
  <c r="B5" i="8"/>
  <c r="B4" i="8" s="1"/>
  <c r="F4" i="8"/>
  <c r="F3" i="8"/>
  <c r="H20" i="10"/>
  <c r="Q20" i="10" s="1"/>
  <c r="G20" i="10"/>
  <c r="P20" i="10" s="1"/>
  <c r="F20" i="10"/>
  <c r="M20" i="10" s="1"/>
  <c r="E20" i="10"/>
  <c r="N20" i="10"/>
  <c r="D20" i="10"/>
  <c r="L20" i="10" s="1"/>
  <c r="C20" i="10"/>
  <c r="B20" i="10"/>
  <c r="K20" i="10" s="1"/>
  <c r="H19" i="10"/>
  <c r="Q19" i="10" s="1"/>
  <c r="G19" i="10"/>
  <c r="P19" i="10" s="1"/>
  <c r="F19" i="10"/>
  <c r="M19" i="10" s="1"/>
  <c r="C19" i="10"/>
  <c r="B19" i="10"/>
  <c r="K19" i="10" s="1"/>
  <c r="Q7" i="10"/>
  <c r="Q6" i="10"/>
  <c r="P6" i="10"/>
  <c r="O6" i="10"/>
  <c r="N6" i="10"/>
  <c r="M6" i="10"/>
  <c r="L6" i="10"/>
  <c r="K6" i="10"/>
  <c r="Q5" i="10"/>
  <c r="O5" i="10"/>
  <c r="L5" i="10"/>
  <c r="K5" i="10"/>
  <c r="H33" i="11"/>
  <c r="G33" i="11"/>
  <c r="F33" i="11"/>
  <c r="E33" i="11"/>
  <c r="D33" i="11"/>
  <c r="C33" i="11"/>
  <c r="B33" i="11"/>
  <c r="H32" i="11"/>
  <c r="G32" i="11"/>
  <c r="F32" i="11"/>
  <c r="E32" i="11"/>
  <c r="D32" i="11"/>
  <c r="C32" i="11"/>
  <c r="B32" i="11"/>
  <c r="H31" i="11"/>
  <c r="Q31" i="11"/>
  <c r="E31" i="11"/>
  <c r="N31" i="11"/>
  <c r="F31" i="11"/>
  <c r="M31" i="11"/>
  <c r="G31" i="11"/>
  <c r="O31" i="11"/>
  <c r="D31" i="11"/>
  <c r="L31" i="11"/>
  <c r="C31" i="11"/>
  <c r="B31" i="11"/>
  <c r="K31" i="11"/>
  <c r="G30" i="11"/>
  <c r="P30" i="11"/>
  <c r="O30" i="11"/>
  <c r="D30" i="11"/>
  <c r="L30" i="11"/>
  <c r="B30" i="11"/>
  <c r="K30" i="11"/>
  <c r="H30" i="11"/>
  <c r="Q30" i="11"/>
  <c r="F30" i="11"/>
  <c r="M30" i="11"/>
  <c r="E30" i="11"/>
  <c r="N30" i="11"/>
  <c r="C30" i="11"/>
  <c r="H29" i="11"/>
  <c r="Q29" i="11"/>
  <c r="E29" i="11"/>
  <c r="N29" i="11"/>
  <c r="F29" i="11"/>
  <c r="M29" i="11"/>
  <c r="G29" i="11"/>
  <c r="O29" i="11"/>
  <c r="D29" i="11"/>
  <c r="L29" i="11"/>
  <c r="C29" i="11"/>
  <c r="B29" i="11"/>
  <c r="K29" i="11"/>
  <c r="G28" i="11"/>
  <c r="P28" i="11"/>
  <c r="O28" i="11"/>
  <c r="D28" i="11"/>
  <c r="L28" i="11"/>
  <c r="B28" i="11"/>
  <c r="K28" i="11"/>
  <c r="H28" i="11"/>
  <c r="Q28" i="11"/>
  <c r="F28" i="11"/>
  <c r="M28" i="11"/>
  <c r="E28" i="11"/>
  <c r="N28" i="11"/>
  <c r="C28" i="11"/>
  <c r="H27" i="11"/>
  <c r="Q27" i="11"/>
  <c r="E27" i="11"/>
  <c r="N27" i="11"/>
  <c r="F27" i="11"/>
  <c r="M27" i="11"/>
  <c r="G27" i="11"/>
  <c r="O27" i="11"/>
  <c r="D27" i="11"/>
  <c r="L27" i="11"/>
  <c r="C27" i="11"/>
  <c r="B27" i="11"/>
  <c r="K27" i="11"/>
  <c r="G26" i="11"/>
  <c r="P26" i="11"/>
  <c r="O26" i="11"/>
  <c r="D26" i="11"/>
  <c r="L26" i="11"/>
  <c r="B26" i="11"/>
  <c r="K26" i="11"/>
  <c r="H26" i="11"/>
  <c r="Q26" i="11"/>
  <c r="F26" i="11"/>
  <c r="M26" i="11"/>
  <c r="E26" i="11"/>
  <c r="N26" i="11"/>
  <c r="C26" i="11"/>
  <c r="H25" i="11"/>
  <c r="Q25" i="11"/>
  <c r="E25" i="11"/>
  <c r="N25" i="11"/>
  <c r="F25" i="11"/>
  <c r="M25" i="11"/>
  <c r="G25" i="11"/>
  <c r="O25" i="11"/>
  <c r="D25" i="11"/>
  <c r="L25" i="11"/>
  <c r="C25" i="11"/>
  <c r="B25" i="11"/>
  <c r="K25" i="11"/>
  <c r="G24" i="11"/>
  <c r="P24" i="11"/>
  <c r="O24" i="11"/>
  <c r="D24" i="11"/>
  <c r="L24" i="11"/>
  <c r="B24" i="11"/>
  <c r="K24" i="11"/>
  <c r="H24" i="11"/>
  <c r="Q24" i="11"/>
  <c r="F24" i="11"/>
  <c r="M24" i="11"/>
  <c r="E24" i="11"/>
  <c r="N24" i="11"/>
  <c r="C24" i="11"/>
  <c r="H23" i="11"/>
  <c r="Q23" i="11"/>
  <c r="E23" i="11"/>
  <c r="N23" i="11"/>
  <c r="F23" i="11"/>
  <c r="M23" i="11"/>
  <c r="G23" i="11"/>
  <c r="O23" i="11"/>
  <c r="D23" i="11"/>
  <c r="L23" i="11"/>
  <c r="C23" i="11"/>
  <c r="B23" i="11"/>
  <c r="K23" i="11"/>
  <c r="Q14" i="11"/>
  <c r="P14" i="11"/>
  <c r="O14" i="11"/>
  <c r="N14" i="11"/>
  <c r="M14" i="11"/>
  <c r="L14" i="11"/>
  <c r="K14" i="11"/>
  <c r="Q13" i="11"/>
  <c r="P13" i="11"/>
  <c r="O13" i="11"/>
  <c r="N13" i="11"/>
  <c r="M13" i="11"/>
  <c r="L13" i="11"/>
  <c r="K13" i="11"/>
  <c r="Q12" i="11"/>
  <c r="P12" i="11"/>
  <c r="O12" i="11"/>
  <c r="N12" i="11"/>
  <c r="M12" i="11"/>
  <c r="L12" i="11"/>
  <c r="K12" i="11"/>
  <c r="Q11" i="11"/>
  <c r="P11" i="11"/>
  <c r="O11" i="11"/>
  <c r="N11" i="11"/>
  <c r="M11" i="11"/>
  <c r="L11" i="11"/>
  <c r="K11" i="11"/>
  <c r="Q10" i="11"/>
  <c r="P10" i="11"/>
  <c r="O10" i="11"/>
  <c r="N10" i="11"/>
  <c r="M10" i="11"/>
  <c r="L10" i="11"/>
  <c r="K10" i="11"/>
  <c r="Q9" i="11"/>
  <c r="P9" i="11"/>
  <c r="O9" i="11"/>
  <c r="N9" i="11"/>
  <c r="M9" i="11"/>
  <c r="L9" i="11"/>
  <c r="K9" i="11"/>
  <c r="Q8" i="11"/>
  <c r="P8" i="11"/>
  <c r="O8" i="11"/>
  <c r="N8" i="11"/>
  <c r="M8" i="11"/>
  <c r="L8" i="11"/>
  <c r="K8" i="11"/>
  <c r="Q7" i="11"/>
  <c r="P7" i="11"/>
  <c r="O7" i="11"/>
  <c r="N7" i="11"/>
  <c r="M7" i="11"/>
  <c r="L7" i="11"/>
  <c r="K7" i="11"/>
  <c r="Q6" i="11"/>
  <c r="P6" i="11"/>
  <c r="O6" i="11"/>
  <c r="N6" i="11"/>
  <c r="M6" i="11"/>
  <c r="L6" i="11"/>
  <c r="K6" i="11"/>
  <c r="Q5" i="11"/>
  <c r="P5" i="11"/>
  <c r="O5" i="11"/>
  <c r="N5" i="11"/>
  <c r="M5" i="11"/>
  <c r="L5" i="11"/>
  <c r="K5" i="11"/>
  <c r="Q4" i="11"/>
  <c r="P4" i="11"/>
  <c r="O4" i="11"/>
  <c r="N4" i="11"/>
  <c r="M4" i="11"/>
  <c r="L4" i="11"/>
  <c r="K4" i="11"/>
  <c r="G6" i="9"/>
  <c r="G5" i="9" s="1"/>
  <c r="C6" i="9"/>
  <c r="C5" i="9" s="1"/>
  <c r="D6" i="9"/>
  <c r="D5" i="9" s="1"/>
  <c r="H6" i="9"/>
  <c r="H5" i="9" s="1"/>
  <c r="B6" i="9"/>
  <c r="B5" i="9" s="1"/>
  <c r="E6" i="9"/>
  <c r="E5" i="9" s="1"/>
  <c r="F6" i="9"/>
  <c r="F5" i="9" s="1"/>
  <c r="L6" i="9"/>
  <c r="P6" i="9"/>
  <c r="B8" i="9"/>
  <c r="B9" i="9" s="1"/>
  <c r="C8" i="9"/>
  <c r="C9" i="9" s="1"/>
  <c r="D8" i="9"/>
  <c r="D9" i="9"/>
  <c r="M9" i="9" s="1"/>
  <c r="E8" i="9"/>
  <c r="E9" i="9"/>
  <c r="E23" i="9" s="1"/>
  <c r="N23" i="9" s="1"/>
  <c r="F8" i="9"/>
  <c r="F9" i="9" s="1"/>
  <c r="G8" i="9"/>
  <c r="G9" i="9" s="1"/>
  <c r="H8" i="9"/>
  <c r="Q8" i="9" s="1"/>
  <c r="D10" i="9"/>
  <c r="D11" i="9" s="1"/>
  <c r="E22" i="9"/>
  <c r="N22" i="9" s="1"/>
  <c r="D23" i="9"/>
  <c r="L23" i="9" s="1"/>
  <c r="B22" i="9"/>
  <c r="K22" i="9" s="1"/>
  <c r="G22" i="9"/>
  <c r="P22" i="9" s="1"/>
  <c r="F22" i="9"/>
  <c r="M22" i="9" s="1"/>
  <c r="D22" i="9"/>
  <c r="L22" i="9" s="1"/>
  <c r="D21" i="9"/>
  <c r="L21" i="9" s="1"/>
  <c r="H21" i="9"/>
  <c r="Q21" i="9"/>
  <c r="G21" i="9"/>
  <c r="O21" i="9" s="1"/>
  <c r="F21" i="9"/>
  <c r="M21" i="9" s="1"/>
  <c r="E21" i="9"/>
  <c r="N21" i="9" s="1"/>
  <c r="C21" i="9"/>
  <c r="B21" i="9"/>
  <c r="K21" i="9" s="1"/>
  <c r="G20" i="9"/>
  <c r="P20" i="9" s="1"/>
  <c r="E20" i="9"/>
  <c r="N20" i="9" s="1"/>
  <c r="C20" i="9"/>
  <c r="B20" i="9"/>
  <c r="K20" i="9" s="1"/>
  <c r="P8" i="9"/>
  <c r="O8" i="9"/>
  <c r="M8" i="9"/>
  <c r="K8" i="9"/>
  <c r="Q7" i="9"/>
  <c r="P7" i="9"/>
  <c r="O7" i="9"/>
  <c r="N7" i="9"/>
  <c r="M7" i="9"/>
  <c r="L7" i="9"/>
  <c r="K7" i="9"/>
  <c r="N6" i="9"/>
  <c r="K6" i="9"/>
  <c r="B22" i="8"/>
  <c r="K22" i="8" s="1"/>
  <c r="H21" i="8"/>
  <c r="Q21" i="8" s="1"/>
  <c r="G21" i="8"/>
  <c r="P21" i="8" s="1"/>
  <c r="F21" i="8"/>
  <c r="M21" i="8" s="1"/>
  <c r="E21" i="8"/>
  <c r="N21" i="8" s="1"/>
  <c r="D21" i="8"/>
  <c r="L21" i="8" s="1"/>
  <c r="C21" i="8"/>
  <c r="B21" i="8"/>
  <c r="K21" i="8"/>
  <c r="F20" i="8"/>
  <c r="M20" i="8" s="1"/>
  <c r="B20" i="8"/>
  <c r="K20" i="8" s="1"/>
  <c r="H19" i="8"/>
  <c r="Q19" i="8"/>
  <c r="D19" i="8"/>
  <c r="L19" i="8" s="1"/>
  <c r="N8" i="8"/>
  <c r="L8" i="8"/>
  <c r="Q8" i="8"/>
  <c r="O8" i="8"/>
  <c r="E22" i="8"/>
  <c r="N22" i="8" s="1"/>
  <c r="M8" i="8"/>
  <c r="C22" i="8"/>
  <c r="K8" i="8"/>
  <c r="Q7" i="8"/>
  <c r="P7" i="8"/>
  <c r="O7" i="8"/>
  <c r="N7" i="8"/>
  <c r="M7" i="8"/>
  <c r="L7" i="8"/>
  <c r="K7" i="8"/>
  <c r="Q6" i="8"/>
  <c r="O6" i="8"/>
  <c r="K6" i="8"/>
  <c r="H20" i="8"/>
  <c r="Q20" i="8"/>
  <c r="E20" i="8"/>
  <c r="N20" i="8" s="1"/>
  <c r="D20" i="8"/>
  <c r="L20" i="8" s="1"/>
  <c r="C20" i="8"/>
  <c r="M5" i="8"/>
  <c r="B6" i="7"/>
  <c r="B5" i="7" s="1"/>
  <c r="C6" i="7"/>
  <c r="C5" i="7" s="1"/>
  <c r="D6" i="7"/>
  <c r="D5" i="7" s="1"/>
  <c r="E6" i="7"/>
  <c r="E5" i="7" s="1"/>
  <c r="E4" i="7" s="1"/>
  <c r="F6" i="7"/>
  <c r="F5" i="7" s="1"/>
  <c r="G6" i="7"/>
  <c r="P6" i="7" s="1"/>
  <c r="H6" i="7"/>
  <c r="H5" i="7" s="1"/>
  <c r="C20" i="7"/>
  <c r="D20" i="7"/>
  <c r="L20" i="7" s="1"/>
  <c r="E20" i="7"/>
  <c r="N20" i="7" s="1"/>
  <c r="B21" i="7"/>
  <c r="K21" i="7" s="1"/>
  <c r="C21" i="7"/>
  <c r="D21" i="7"/>
  <c r="L21" i="7" s="1"/>
  <c r="E21" i="7"/>
  <c r="F21" i="7"/>
  <c r="G21" i="7"/>
  <c r="O21" i="7" s="1"/>
  <c r="H21" i="7"/>
  <c r="Q21" i="7" s="1"/>
  <c r="B8" i="7"/>
  <c r="B22" i="7" s="1"/>
  <c r="K22" i="7" s="1"/>
  <c r="C8" i="7"/>
  <c r="C22" i="7" s="1"/>
  <c r="D8" i="7"/>
  <c r="D22" i="7" s="1"/>
  <c r="L22" i="7" s="1"/>
  <c r="E8" i="7"/>
  <c r="E22" i="7" s="1"/>
  <c r="N22" i="7" s="1"/>
  <c r="F8" i="7"/>
  <c r="F22" i="7" s="1"/>
  <c r="M22" i="7" s="1"/>
  <c r="G8" i="7"/>
  <c r="G22" i="7" s="1"/>
  <c r="H8" i="7"/>
  <c r="H22" i="7" s="1"/>
  <c r="Q22" i="7" s="1"/>
  <c r="F9" i="7"/>
  <c r="F23" i="7" s="1"/>
  <c r="M23" i="7" s="1"/>
  <c r="F10" i="7"/>
  <c r="F24" i="7" s="1"/>
  <c r="M24" i="7" s="1"/>
  <c r="L6" i="7"/>
  <c r="N6" i="7"/>
  <c r="L8" i="7"/>
  <c r="N8" i="7"/>
  <c r="P21" i="7"/>
  <c r="N21" i="7"/>
  <c r="M21" i="7"/>
  <c r="O8" i="7"/>
  <c r="Q7" i="7"/>
  <c r="P7" i="7"/>
  <c r="O7" i="7"/>
  <c r="N7" i="7"/>
  <c r="M7" i="7"/>
  <c r="L7" i="7"/>
  <c r="K7" i="7"/>
  <c r="C20" i="26"/>
  <c r="L6" i="26"/>
  <c r="E20" i="26"/>
  <c r="N20" i="26" s="1"/>
  <c r="N6" i="26"/>
  <c r="E5" i="26"/>
  <c r="G19" i="26"/>
  <c r="P19" i="26" s="1"/>
  <c r="P5" i="26"/>
  <c r="Q11" i="26"/>
  <c r="H12" i="26"/>
  <c r="Q12" i="26" s="1"/>
  <c r="D25" i="26"/>
  <c r="L24" i="26"/>
  <c r="Q24" i="26"/>
  <c r="H25" i="26"/>
  <c r="H26" i="26" s="1"/>
  <c r="G12" i="24"/>
  <c r="G13" i="24" s="1"/>
  <c r="O10" i="25"/>
  <c r="F11" i="25"/>
  <c r="F12" i="25" s="1"/>
  <c r="G20" i="25"/>
  <c r="P6" i="25"/>
  <c r="G5" i="25"/>
  <c r="P5" i="25" s="1"/>
  <c r="K23" i="25"/>
  <c r="C20" i="25"/>
  <c r="H19" i="25"/>
  <c r="Q19" i="25" s="1"/>
  <c r="N23" i="23"/>
  <c r="E24" i="23"/>
  <c r="N24" i="23" s="1"/>
  <c r="C12" i="23"/>
  <c r="C13" i="23" s="1"/>
  <c r="L11" i="23"/>
  <c r="P24" i="23"/>
  <c r="G25" i="23"/>
  <c r="P25" i="23" s="1"/>
  <c r="O24" i="23"/>
  <c r="E11" i="23"/>
  <c r="N10" i="23"/>
  <c r="B20" i="23"/>
  <c r="K20" i="23" s="1"/>
  <c r="K6" i="23"/>
  <c r="B5" i="23"/>
  <c r="D25" i="23"/>
  <c r="D26" i="23" s="1"/>
  <c r="L24" i="23"/>
  <c r="F24" i="23"/>
  <c r="M24" i="23" s="1"/>
  <c r="M23" i="23"/>
  <c r="B11" i="22"/>
  <c r="B12" i="22" s="1"/>
  <c r="O10" i="22"/>
  <c r="D20" i="22"/>
  <c r="L20" i="22" s="1"/>
  <c r="M6" i="22"/>
  <c r="G24" i="22"/>
  <c r="P23" i="22"/>
  <c r="F24" i="22"/>
  <c r="F25" i="22" s="1"/>
  <c r="G11" i="22"/>
  <c r="P10" i="22"/>
  <c r="H20" i="22"/>
  <c r="Q20" i="22" s="1"/>
  <c r="Q6" i="22"/>
  <c r="B20" i="22"/>
  <c r="K20" i="22" s="1"/>
  <c r="K6" i="22"/>
  <c r="B5" i="22"/>
  <c r="F20" i="22"/>
  <c r="M20" i="22" s="1"/>
  <c r="O6" i="22"/>
  <c r="F5" i="22"/>
  <c r="O11" i="22"/>
  <c r="F12" i="22"/>
  <c r="H24" i="22"/>
  <c r="Q23" i="22"/>
  <c r="Q10" i="22"/>
  <c r="H11" i="22"/>
  <c r="B25" i="22"/>
  <c r="K24" i="22"/>
  <c r="M10" i="22"/>
  <c r="D11" i="22"/>
  <c r="D25" i="22"/>
  <c r="L24" i="22"/>
  <c r="K11" i="22"/>
  <c r="N6" i="22"/>
  <c r="E20" i="22"/>
  <c r="N20" i="22"/>
  <c r="E5" i="22"/>
  <c r="O21" i="21"/>
  <c r="F19" i="21"/>
  <c r="M19" i="21" s="1"/>
  <c r="O5" i="21"/>
  <c r="D20" i="21"/>
  <c r="L20" i="21"/>
  <c r="M6" i="21"/>
  <c r="D5" i="21"/>
  <c r="H20" i="21"/>
  <c r="Q20" i="21" s="1"/>
  <c r="Q6" i="21"/>
  <c r="H5" i="21"/>
  <c r="N4" i="20"/>
  <c r="F22" i="20"/>
  <c r="M22" i="20" s="1"/>
  <c r="K8" i="20"/>
  <c r="B22" i="20"/>
  <c r="K22" i="20" s="1"/>
  <c r="B9" i="20"/>
  <c r="K9" i="20" s="1"/>
  <c r="B3" i="20"/>
  <c r="B17" i="20" s="1"/>
  <c r="K17" i="20" s="1"/>
  <c r="B18" i="20"/>
  <c r="K18" i="20" s="1"/>
  <c r="K4" i="20"/>
  <c r="G3" i="20"/>
  <c r="P3" i="20" s="1"/>
  <c r="G18" i="20"/>
  <c r="O18" i="20" s="1"/>
  <c r="P4" i="20"/>
  <c r="P19" i="19"/>
  <c r="Q8" i="19"/>
  <c r="D22" i="19"/>
  <c r="L22" i="19" s="1"/>
  <c r="M8" i="19"/>
  <c r="F22" i="19"/>
  <c r="M22" i="19" s="1"/>
  <c r="F9" i="19"/>
  <c r="O8" i="19"/>
  <c r="B22" i="19"/>
  <c r="K22" i="19" s="1"/>
  <c r="B9" i="19"/>
  <c r="K8" i="19"/>
  <c r="H18" i="19"/>
  <c r="Q18" i="19" s="1"/>
  <c r="Q4" i="19"/>
  <c r="H3" i="19"/>
  <c r="P21" i="19"/>
  <c r="O21" i="19"/>
  <c r="D17" i="19"/>
  <c r="L17" i="19" s="1"/>
  <c r="M3" i="19"/>
  <c r="H23" i="19"/>
  <c r="Q23" i="19" s="1"/>
  <c r="H10" i="19"/>
  <c r="Q9" i="19"/>
  <c r="L8" i="19"/>
  <c r="C22" i="19"/>
  <c r="C9" i="19"/>
  <c r="P8" i="19"/>
  <c r="G22" i="19"/>
  <c r="G9" i="19"/>
  <c r="O19" i="18"/>
  <c r="E3" i="18"/>
  <c r="N3" i="18" s="1"/>
  <c r="N4" i="18"/>
  <c r="E18" i="18"/>
  <c r="N18" i="18" s="1"/>
  <c r="B18" i="18"/>
  <c r="K18" i="18" s="1"/>
  <c r="K4" i="18"/>
  <c r="B3" i="18"/>
  <c r="K8" i="18"/>
  <c r="B22" i="18"/>
  <c r="K22" i="18" s="1"/>
  <c r="B9" i="18"/>
  <c r="H22" i="18"/>
  <c r="Q22" i="18" s="1"/>
  <c r="H9" i="18"/>
  <c r="Q8" i="18"/>
  <c r="E22" i="18"/>
  <c r="N22" i="18" s="1"/>
  <c r="N8" i="18"/>
  <c r="E9" i="18"/>
  <c r="F3" i="18"/>
  <c r="F17" i="18" s="1"/>
  <c r="M17" i="18" s="1"/>
  <c r="F18" i="18"/>
  <c r="M18" i="18" s="1"/>
  <c r="O4" i="18"/>
  <c r="D22" i="18"/>
  <c r="L22" i="18" s="1"/>
  <c r="D9" i="18"/>
  <c r="D10" i="18" s="1"/>
  <c r="M8" i="18"/>
  <c r="O8" i="18"/>
  <c r="F22" i="18"/>
  <c r="M22" i="18" s="1"/>
  <c r="F9" i="18"/>
  <c r="E22" i="15"/>
  <c r="N22" i="15" s="1"/>
  <c r="E9" i="15"/>
  <c r="E10" i="15" s="1"/>
  <c r="B3" i="15"/>
  <c r="B18" i="15"/>
  <c r="K18" i="15" s="1"/>
  <c r="O8" i="15"/>
  <c r="F22" i="15"/>
  <c r="M22" i="15" s="1"/>
  <c r="F9" i="15"/>
  <c r="C18" i="15"/>
  <c r="L4" i="15"/>
  <c r="C3" i="15"/>
  <c r="L8" i="15"/>
  <c r="C22" i="15"/>
  <c r="C9" i="15"/>
  <c r="G22" i="15"/>
  <c r="G9" i="15"/>
  <c r="P8" i="15"/>
  <c r="B9" i="15"/>
  <c r="K8" i="15"/>
  <c r="B22" i="15"/>
  <c r="K22" i="15" s="1"/>
  <c r="G18" i="15"/>
  <c r="G3" i="15"/>
  <c r="P4" i="15"/>
  <c r="Q9" i="15"/>
  <c r="H23" i="15"/>
  <c r="Q23" i="15" s="1"/>
  <c r="H10" i="15"/>
  <c r="O21" i="15"/>
  <c r="P21" i="15"/>
  <c r="O19" i="15"/>
  <c r="P19" i="15"/>
  <c r="G9" i="16"/>
  <c r="G23" i="16" s="1"/>
  <c r="P19" i="16"/>
  <c r="P8" i="16"/>
  <c r="M4" i="16"/>
  <c r="D3" i="16"/>
  <c r="D17" i="16" s="1"/>
  <c r="L17" i="16" s="1"/>
  <c r="P21" i="16"/>
  <c r="E3" i="16"/>
  <c r="E18" i="16"/>
  <c r="N18" i="16" s="1"/>
  <c r="N4" i="16"/>
  <c r="P9" i="16"/>
  <c r="G10" i="16"/>
  <c r="P3" i="16"/>
  <c r="G17" i="16"/>
  <c r="L9" i="16"/>
  <c r="C10" i="16"/>
  <c r="C23" i="16"/>
  <c r="Q8" i="16"/>
  <c r="H22" i="16"/>
  <c r="Q22" i="16" s="1"/>
  <c r="H9" i="16"/>
  <c r="M3" i="16"/>
  <c r="N8" i="16"/>
  <c r="E9" i="16"/>
  <c r="E22" i="16"/>
  <c r="N22" i="16" s="1"/>
  <c r="D22" i="16"/>
  <c r="L22" i="16" s="1"/>
  <c r="D9" i="16"/>
  <c r="M8" i="16"/>
  <c r="O8" i="16"/>
  <c r="F22" i="16"/>
  <c r="M22" i="16" s="1"/>
  <c r="F9" i="16"/>
  <c r="P18" i="16"/>
  <c r="O18" i="16"/>
  <c r="K8" i="16"/>
  <c r="B22" i="16"/>
  <c r="K22" i="16" s="1"/>
  <c r="B9" i="16"/>
  <c r="O20" i="14"/>
  <c r="P5" i="14"/>
  <c r="K7" i="14"/>
  <c r="K5" i="14"/>
  <c r="O5" i="14"/>
  <c r="N7" i="14"/>
  <c r="B19" i="14"/>
  <c r="K19" i="14" s="1"/>
  <c r="F19" i="14"/>
  <c r="M19" i="14" s="1"/>
  <c r="P21" i="14"/>
  <c r="M5" i="14"/>
  <c r="Q5" i="14"/>
  <c r="H21" i="14"/>
  <c r="Q21" i="14" s="1"/>
  <c r="Q5" i="13"/>
  <c r="P20" i="13"/>
  <c r="O20" i="13"/>
  <c r="P21" i="13"/>
  <c r="L5" i="13"/>
  <c r="P5" i="13"/>
  <c r="N6" i="13"/>
  <c r="L6" i="13"/>
  <c r="P6" i="13"/>
  <c r="P21" i="12"/>
  <c r="P20" i="12"/>
  <c r="O20" i="12"/>
  <c r="D22" i="12"/>
  <c r="L22" i="12" s="1"/>
  <c r="H22" i="12"/>
  <c r="Q22" i="12" s="1"/>
  <c r="N6" i="12"/>
  <c r="L6" i="12"/>
  <c r="P6" i="12"/>
  <c r="M5" i="10"/>
  <c r="B8" i="10"/>
  <c r="K8" i="10" s="1"/>
  <c r="G8" i="10"/>
  <c r="G9" i="10" s="1"/>
  <c r="H8" i="10"/>
  <c r="H22" i="10" s="1"/>
  <c r="Q22" i="10" s="1"/>
  <c r="C21" i="10"/>
  <c r="G21" i="10"/>
  <c r="O21" i="10" s="1"/>
  <c r="N7" i="10"/>
  <c r="O20" i="10"/>
  <c r="K7" i="10"/>
  <c r="P23" i="11"/>
  <c r="P25" i="11"/>
  <c r="P27" i="11"/>
  <c r="P29" i="11"/>
  <c r="P31" i="11"/>
  <c r="O20" i="9"/>
  <c r="N8" i="9"/>
  <c r="O22" i="9"/>
  <c r="P21" i="9"/>
  <c r="O21" i="8"/>
  <c r="K5" i="8"/>
  <c r="F19" i="8"/>
  <c r="M19" i="8" s="1"/>
  <c r="D22" i="8"/>
  <c r="L22" i="8" s="1"/>
  <c r="H22" i="8"/>
  <c r="Q22" i="8" s="1"/>
  <c r="N6" i="8"/>
  <c r="L6" i="8"/>
  <c r="P6" i="8"/>
  <c r="O9" i="7"/>
  <c r="B17" i="6"/>
  <c r="B18" i="6"/>
  <c r="B19" i="6"/>
  <c r="B20" i="6"/>
  <c r="B21" i="6"/>
  <c r="B22" i="6"/>
  <c r="B23" i="6"/>
  <c r="B24" i="6"/>
  <c r="B25" i="6"/>
  <c r="D18" i="6"/>
  <c r="D17" i="6"/>
  <c r="D19" i="6"/>
  <c r="D20" i="6"/>
  <c r="D21" i="6"/>
  <c r="D22" i="6"/>
  <c r="D23" i="6"/>
  <c r="D24" i="6"/>
  <c r="D25" i="6"/>
  <c r="E19" i="26"/>
  <c r="N19" i="26"/>
  <c r="N5" i="26"/>
  <c r="D26" i="26"/>
  <c r="D27" i="26" s="1"/>
  <c r="L27" i="26" s="1"/>
  <c r="L25" i="26"/>
  <c r="O19" i="26"/>
  <c r="O20" i="25"/>
  <c r="P20" i="25"/>
  <c r="F25" i="23"/>
  <c r="F26" i="23" s="1"/>
  <c r="L25" i="23"/>
  <c r="L12" i="23"/>
  <c r="O25" i="23"/>
  <c r="B19" i="23"/>
  <c r="K19" i="23" s="1"/>
  <c r="K5" i="23"/>
  <c r="N11" i="23"/>
  <c r="E12" i="23"/>
  <c r="N12" i="23" s="1"/>
  <c r="E25" i="23"/>
  <c r="P24" i="22"/>
  <c r="G25" i="22"/>
  <c r="O24" i="22"/>
  <c r="P11" i="22"/>
  <c r="G12" i="22"/>
  <c r="M11" i="22"/>
  <c r="D12" i="22"/>
  <c r="Q11" i="22"/>
  <c r="H12" i="22"/>
  <c r="Q24" i="22"/>
  <c r="H25" i="22"/>
  <c r="B19" i="22"/>
  <c r="K19" i="22"/>
  <c r="K5" i="22"/>
  <c r="K25" i="22"/>
  <c r="B26" i="22"/>
  <c r="O12" i="22"/>
  <c r="F13" i="22"/>
  <c r="F19" i="22"/>
  <c r="M19" i="22" s="1"/>
  <c r="O5" i="22"/>
  <c r="E19" i="22"/>
  <c r="N19" i="22" s="1"/>
  <c r="N5" i="22"/>
  <c r="D26" i="22"/>
  <c r="L25" i="22"/>
  <c r="H19" i="21"/>
  <c r="Q19" i="21" s="1"/>
  <c r="Q5" i="21"/>
  <c r="D19" i="21"/>
  <c r="L19" i="21" s="1"/>
  <c r="M5" i="21"/>
  <c r="P18" i="20"/>
  <c r="G17" i="20"/>
  <c r="O17" i="20" s="1"/>
  <c r="P9" i="19"/>
  <c r="G23" i="19"/>
  <c r="G10" i="19"/>
  <c r="P22" i="19"/>
  <c r="O22" i="19"/>
  <c r="F23" i="19"/>
  <c r="M23" i="19" s="1"/>
  <c r="F10" i="19"/>
  <c r="O9" i="19"/>
  <c r="L9" i="19"/>
  <c r="C23" i="19"/>
  <c r="C10" i="19"/>
  <c r="H24" i="19"/>
  <c r="Q24" i="19"/>
  <c r="H11" i="19"/>
  <c r="Q10" i="19"/>
  <c r="H17" i="19"/>
  <c r="Q17" i="19"/>
  <c r="Q3" i="19"/>
  <c r="B23" i="19"/>
  <c r="K23" i="19" s="1"/>
  <c r="B10" i="19"/>
  <c r="K9" i="19"/>
  <c r="Q9" i="18"/>
  <c r="H23" i="18"/>
  <c r="Q23" i="18" s="1"/>
  <c r="H10" i="18"/>
  <c r="H11" i="18" s="1"/>
  <c r="N9" i="18"/>
  <c r="E23" i="18"/>
  <c r="N23" i="18"/>
  <c r="E10" i="18"/>
  <c r="B17" i="18"/>
  <c r="K17" i="18" s="1"/>
  <c r="K3" i="18"/>
  <c r="F23" i="18"/>
  <c r="M23" i="18" s="1"/>
  <c r="F10" i="18"/>
  <c r="O9" i="18"/>
  <c r="B23" i="18"/>
  <c r="K23" i="18" s="1"/>
  <c r="B10" i="18"/>
  <c r="K9" i="18"/>
  <c r="N9" i="15"/>
  <c r="B17" i="15"/>
  <c r="K17" i="15" s="1"/>
  <c r="K3" i="15"/>
  <c r="O22" i="15"/>
  <c r="P22" i="15"/>
  <c r="G17" i="15"/>
  <c r="P3" i="15"/>
  <c r="K9" i="15"/>
  <c r="B23" i="15"/>
  <c r="K23" i="15" s="1"/>
  <c r="B10" i="15"/>
  <c r="O9" i="15"/>
  <c r="F23" i="15"/>
  <c r="M23" i="15" s="1"/>
  <c r="F10" i="15"/>
  <c r="O18" i="15"/>
  <c r="P18" i="15"/>
  <c r="C23" i="15"/>
  <c r="C10" i="15"/>
  <c r="L9" i="15"/>
  <c r="Q10" i="15"/>
  <c r="H24" i="15"/>
  <c r="Q24" i="15" s="1"/>
  <c r="H11" i="15"/>
  <c r="G23" i="15"/>
  <c r="G10" i="15"/>
  <c r="P9" i="15"/>
  <c r="C17" i="15"/>
  <c r="L3" i="15"/>
  <c r="N3" i="16"/>
  <c r="E17" i="16"/>
  <c r="N17" i="16" s="1"/>
  <c r="O9" i="16"/>
  <c r="F23" i="16"/>
  <c r="M23" i="16" s="1"/>
  <c r="F10" i="16"/>
  <c r="M9" i="16"/>
  <c r="D23" i="16"/>
  <c r="L23" i="16" s="1"/>
  <c r="D10" i="16"/>
  <c r="B23" i="16"/>
  <c r="K23" i="16" s="1"/>
  <c r="B10" i="16"/>
  <c r="K9" i="16"/>
  <c r="Q9" i="16"/>
  <c r="H23" i="16"/>
  <c r="Q23" i="16" s="1"/>
  <c r="H10" i="16"/>
  <c r="C24" i="16"/>
  <c r="C11" i="16"/>
  <c r="L10" i="16"/>
  <c r="G24" i="16"/>
  <c r="G11" i="16"/>
  <c r="P10" i="16"/>
  <c r="E23" i="16"/>
  <c r="N23" i="16"/>
  <c r="E10" i="16"/>
  <c r="N9" i="16"/>
  <c r="O17" i="16"/>
  <c r="P17" i="16"/>
  <c r="K8" i="14"/>
  <c r="E19" i="13"/>
  <c r="N19" i="13" s="1"/>
  <c r="N5" i="13"/>
  <c r="B9" i="10"/>
  <c r="B23" i="10" s="1"/>
  <c r="K23" i="10" s="1"/>
  <c r="B22" i="10"/>
  <c r="K22" i="10" s="1"/>
  <c r="G22" i="10"/>
  <c r="O22" i="10" s="1"/>
  <c r="H9" i="10"/>
  <c r="Q8" i="10"/>
  <c r="P21" i="10"/>
  <c r="O4" i="8"/>
  <c r="F18" i="8"/>
  <c r="M18" i="8" s="1"/>
  <c r="Q25" i="6"/>
  <c r="P25" i="6"/>
  <c r="O25" i="6"/>
  <c r="N25" i="6"/>
  <c r="M25" i="6"/>
  <c r="L25" i="6"/>
  <c r="K25" i="6"/>
  <c r="Q24" i="6"/>
  <c r="P24" i="6"/>
  <c r="O24" i="6"/>
  <c r="N24" i="6"/>
  <c r="M24" i="6"/>
  <c r="L24" i="6"/>
  <c r="K24" i="6"/>
  <c r="Q23" i="6"/>
  <c r="P23" i="6"/>
  <c r="O23" i="6"/>
  <c r="N23" i="6"/>
  <c r="M23" i="6"/>
  <c r="L23" i="6"/>
  <c r="K23" i="6"/>
  <c r="Q22" i="6"/>
  <c r="P22" i="6"/>
  <c r="O22" i="6"/>
  <c r="N22" i="6"/>
  <c r="M22" i="6"/>
  <c r="L22" i="6"/>
  <c r="K22" i="6"/>
  <c r="Q21" i="6"/>
  <c r="P21" i="6"/>
  <c r="O21" i="6"/>
  <c r="N21" i="6"/>
  <c r="M21" i="6"/>
  <c r="L21" i="6"/>
  <c r="K21" i="6"/>
  <c r="Q20" i="6"/>
  <c r="P20" i="6"/>
  <c r="O20" i="6"/>
  <c r="N20" i="6"/>
  <c r="M20" i="6"/>
  <c r="L20" i="6"/>
  <c r="K20" i="6"/>
  <c r="Q19" i="6"/>
  <c r="P19" i="6"/>
  <c r="O19" i="6"/>
  <c r="N19" i="6"/>
  <c r="M19" i="6"/>
  <c r="L19" i="6"/>
  <c r="K19" i="6"/>
  <c r="Q18" i="6"/>
  <c r="P18" i="6"/>
  <c r="O18" i="6"/>
  <c r="N18" i="6"/>
  <c r="M18" i="6"/>
  <c r="L18" i="6"/>
  <c r="K18" i="6"/>
  <c r="Q17" i="6"/>
  <c r="P17" i="6"/>
  <c r="O17" i="6"/>
  <c r="N17" i="6"/>
  <c r="M17" i="6"/>
  <c r="L17" i="6"/>
  <c r="K17" i="6"/>
  <c r="Q13" i="6"/>
  <c r="P13" i="6"/>
  <c r="O13" i="6"/>
  <c r="N13" i="6"/>
  <c r="M13" i="6"/>
  <c r="L13" i="6"/>
  <c r="K13" i="6"/>
  <c r="Q12" i="6"/>
  <c r="P12" i="6"/>
  <c r="O12" i="6"/>
  <c r="N12" i="6"/>
  <c r="M12" i="6"/>
  <c r="L12" i="6"/>
  <c r="K12" i="6"/>
  <c r="Q11" i="6"/>
  <c r="P11" i="6"/>
  <c r="O11" i="6"/>
  <c r="N11" i="6"/>
  <c r="M11" i="6"/>
  <c r="L11" i="6"/>
  <c r="K11" i="6"/>
  <c r="Q10" i="6"/>
  <c r="P10" i="6"/>
  <c r="O10" i="6"/>
  <c r="N10" i="6"/>
  <c r="M10" i="6"/>
  <c r="L10" i="6"/>
  <c r="K10" i="6"/>
  <c r="Q9" i="6"/>
  <c r="P9" i="6"/>
  <c r="O9" i="6"/>
  <c r="N9" i="6"/>
  <c r="M9" i="6"/>
  <c r="L9" i="6"/>
  <c r="K9" i="6"/>
  <c r="Q8" i="6"/>
  <c r="P8" i="6"/>
  <c r="O8" i="6"/>
  <c r="N8" i="6"/>
  <c r="M8" i="6"/>
  <c r="L8" i="6"/>
  <c r="K8" i="6"/>
  <c r="Q7" i="6"/>
  <c r="P7" i="6"/>
  <c r="O7" i="6"/>
  <c r="N7" i="6"/>
  <c r="M7" i="6"/>
  <c r="L7" i="6"/>
  <c r="K7" i="6"/>
  <c r="Q6" i="6"/>
  <c r="P6" i="6"/>
  <c r="O6" i="6"/>
  <c r="N6" i="6"/>
  <c r="M6" i="6"/>
  <c r="L6" i="6"/>
  <c r="K6" i="6"/>
  <c r="Q5" i="6"/>
  <c r="P5" i="6"/>
  <c r="O5" i="6"/>
  <c r="N5" i="6"/>
  <c r="M5" i="6"/>
  <c r="L5" i="6"/>
  <c r="K5" i="6"/>
  <c r="Q4" i="6"/>
  <c r="P4" i="6"/>
  <c r="O4" i="6"/>
  <c r="N4" i="6"/>
  <c r="M4" i="6"/>
  <c r="L4" i="6"/>
  <c r="K4" i="6"/>
  <c r="Q3" i="6"/>
  <c r="P3" i="6"/>
  <c r="O3" i="6"/>
  <c r="N3" i="6"/>
  <c r="M3" i="6"/>
  <c r="L3" i="6"/>
  <c r="K3" i="6"/>
  <c r="L26" i="26"/>
  <c r="E13" i="23"/>
  <c r="N13" i="23" s="1"/>
  <c r="M25" i="23"/>
  <c r="E26" i="23"/>
  <c r="N25" i="23"/>
  <c r="G26" i="22"/>
  <c r="O25" i="22"/>
  <c r="P25" i="22"/>
  <c r="G13" i="22"/>
  <c r="P12" i="22"/>
  <c r="D27" i="22"/>
  <c r="L27" i="22" s="1"/>
  <c r="L26" i="22"/>
  <c r="H26" i="22"/>
  <c r="Q25" i="22"/>
  <c r="M12" i="22"/>
  <c r="D13" i="22"/>
  <c r="B27" i="22"/>
  <c r="K27" i="22"/>
  <c r="K26" i="22"/>
  <c r="Q12" i="22"/>
  <c r="H13" i="22"/>
  <c r="O13" i="22"/>
  <c r="F14" i="22"/>
  <c r="L10" i="19"/>
  <c r="C24" i="19"/>
  <c r="C11" i="19"/>
  <c r="F24" i="19"/>
  <c r="M24" i="19" s="1"/>
  <c r="F11" i="19"/>
  <c r="O10" i="19"/>
  <c r="P10" i="19"/>
  <c r="G24" i="19"/>
  <c r="G11" i="19"/>
  <c r="B24" i="19"/>
  <c r="K24" i="19" s="1"/>
  <c r="B11" i="19"/>
  <c r="K10" i="19"/>
  <c r="P23" i="19"/>
  <c r="O23" i="19"/>
  <c r="H25" i="19"/>
  <c r="Q25" i="19" s="1"/>
  <c r="H12" i="19"/>
  <c r="H13" i="19" s="1"/>
  <c r="Q13" i="19" s="1"/>
  <c r="Q11" i="19"/>
  <c r="O10" i="18"/>
  <c r="F24" i="18"/>
  <c r="M24" i="18" s="1"/>
  <c r="F11" i="18"/>
  <c r="O11" i="18" s="1"/>
  <c r="E24" i="18"/>
  <c r="N24" i="18" s="1"/>
  <c r="E11" i="18"/>
  <c r="N11" i="18" s="1"/>
  <c r="N10" i="18"/>
  <c r="K10" i="18"/>
  <c r="B24" i="18"/>
  <c r="K24" i="18"/>
  <c r="B11" i="18"/>
  <c r="B12" i="18" s="1"/>
  <c r="Q11" i="15"/>
  <c r="H12" i="15"/>
  <c r="H25" i="15"/>
  <c r="Q25" i="15" s="1"/>
  <c r="K10" i="15"/>
  <c r="B24" i="15"/>
  <c r="K24" i="15"/>
  <c r="B11" i="15"/>
  <c r="P17" i="15"/>
  <c r="O17" i="15"/>
  <c r="P10" i="15"/>
  <c r="G24" i="15"/>
  <c r="G11" i="15"/>
  <c r="O10" i="15"/>
  <c r="F11" i="15"/>
  <c r="F24" i="15"/>
  <c r="M24" i="15" s="1"/>
  <c r="P23" i="15"/>
  <c r="O23" i="15"/>
  <c r="C24" i="15"/>
  <c r="C11" i="15"/>
  <c r="L10" i="15"/>
  <c r="E24" i="16"/>
  <c r="N24" i="16" s="1"/>
  <c r="N10" i="16"/>
  <c r="E11" i="16"/>
  <c r="P24" i="16"/>
  <c r="O24" i="16"/>
  <c r="Q10" i="16"/>
  <c r="H24" i="16"/>
  <c r="Q24" i="16"/>
  <c r="H11" i="16"/>
  <c r="K10" i="16"/>
  <c r="B24" i="16"/>
  <c r="K24" i="16"/>
  <c r="B11" i="16"/>
  <c r="O10" i="16"/>
  <c r="F24" i="16"/>
  <c r="M24" i="16"/>
  <c r="F11" i="16"/>
  <c r="C25" i="16"/>
  <c r="L11" i="16"/>
  <c r="C12" i="16"/>
  <c r="M10" i="16"/>
  <c r="D24" i="16"/>
  <c r="L24" i="16" s="1"/>
  <c r="D11" i="16"/>
  <c r="G12" i="16"/>
  <c r="P11" i="16"/>
  <c r="G25" i="16"/>
  <c r="B10" i="10"/>
  <c r="B11" i="10" s="1"/>
  <c r="P22" i="10"/>
  <c r="H10" i="10"/>
  <c r="Q9" i="10"/>
  <c r="H23" i="10"/>
  <c r="Q23" i="10" s="1"/>
  <c r="O3" i="8"/>
  <c r="F17" i="8"/>
  <c r="M17" i="8" s="1"/>
  <c r="B17" i="5"/>
  <c r="J17" i="5" s="1"/>
  <c r="B18" i="5"/>
  <c r="B19" i="5"/>
  <c r="B20" i="5"/>
  <c r="B21" i="5"/>
  <c r="J21" i="5" s="1"/>
  <c r="B22" i="5"/>
  <c r="B23" i="5"/>
  <c r="N26" i="23"/>
  <c r="E27" i="23"/>
  <c r="N27" i="23" s="1"/>
  <c r="E14" i="23"/>
  <c r="G14" i="22"/>
  <c r="P14" i="22" s="1"/>
  <c r="P13" i="22"/>
  <c r="O26" i="22"/>
  <c r="P26" i="22"/>
  <c r="G27" i="22"/>
  <c r="O27" i="22" s="1"/>
  <c r="Q13" i="22"/>
  <c r="H14" i="22"/>
  <c r="M13" i="22"/>
  <c r="D14" i="22"/>
  <c r="D15" i="22" s="1"/>
  <c r="M15" i="22" s="1"/>
  <c r="O14" i="22"/>
  <c r="F15" i="22"/>
  <c r="O15" i="22"/>
  <c r="Q26" i="22"/>
  <c r="H27" i="22"/>
  <c r="Q27" i="22" s="1"/>
  <c r="Q12" i="19"/>
  <c r="P24" i="19"/>
  <c r="O24" i="19"/>
  <c r="B25" i="19"/>
  <c r="K25" i="19" s="1"/>
  <c r="B12" i="19"/>
  <c r="K11" i="19"/>
  <c r="L11" i="19"/>
  <c r="C25" i="19"/>
  <c r="C12" i="19"/>
  <c r="C13" i="19" s="1"/>
  <c r="L13" i="19" s="1"/>
  <c r="P11" i="19"/>
  <c r="G25" i="19"/>
  <c r="O25" i="19" s="1"/>
  <c r="G12" i="19"/>
  <c r="F25" i="19"/>
  <c r="M25" i="19" s="1"/>
  <c r="F12" i="19"/>
  <c r="F13" i="19" s="1"/>
  <c r="O13" i="19" s="1"/>
  <c r="O11" i="19"/>
  <c r="F12" i="18"/>
  <c r="O12" i="18" s="1"/>
  <c r="B25" i="18"/>
  <c r="K25" i="18" s="1"/>
  <c r="K11" i="18"/>
  <c r="E12" i="18"/>
  <c r="E13" i="18" s="1"/>
  <c r="N13" i="18" s="1"/>
  <c r="C25" i="15"/>
  <c r="C12" i="15"/>
  <c r="L11" i="15"/>
  <c r="O24" i="15"/>
  <c r="P24" i="15"/>
  <c r="K11" i="15"/>
  <c r="B25" i="15"/>
  <c r="K25" i="15" s="1"/>
  <c r="B12" i="15"/>
  <c r="B13" i="15" s="1"/>
  <c r="K13" i="15" s="1"/>
  <c r="O11" i="15"/>
  <c r="F25" i="15"/>
  <c r="M25" i="15" s="1"/>
  <c r="F12" i="15"/>
  <c r="Q12" i="15"/>
  <c r="H13" i="15"/>
  <c r="Q13" i="15"/>
  <c r="G25" i="15"/>
  <c r="G12" i="15"/>
  <c r="G13" i="15" s="1"/>
  <c r="P13" i="15" s="1"/>
  <c r="P11" i="15"/>
  <c r="K11" i="16"/>
  <c r="B25" i="16"/>
  <c r="K25" i="16" s="1"/>
  <c r="B12" i="16"/>
  <c r="M11" i="16"/>
  <c r="D25" i="16"/>
  <c r="L25" i="16"/>
  <c r="D12" i="16"/>
  <c r="Q11" i="16"/>
  <c r="H25" i="16"/>
  <c r="Q25" i="16"/>
  <c r="H12" i="16"/>
  <c r="E25" i="16"/>
  <c r="N25" i="16" s="1"/>
  <c r="E12" i="16"/>
  <c r="N11" i="16"/>
  <c r="O11" i="16"/>
  <c r="F25" i="16"/>
  <c r="M25" i="16" s="1"/>
  <c r="F12" i="16"/>
  <c r="O25" i="16"/>
  <c r="P25" i="16"/>
  <c r="G13" i="16"/>
  <c r="P12" i="16"/>
  <c r="C13" i="16"/>
  <c r="L12" i="16"/>
  <c r="B24" i="10"/>
  <c r="K24" i="10" s="1"/>
  <c r="H11" i="10"/>
  <c r="H24" i="10"/>
  <c r="Q24" i="10" s="1"/>
  <c r="Q10" i="10"/>
  <c r="E15" i="23"/>
  <c r="N15" i="23" s="1"/>
  <c r="N14" i="23"/>
  <c r="P27" i="22"/>
  <c r="G15" i="22"/>
  <c r="P15" i="22" s="1"/>
  <c r="Q14" i="22"/>
  <c r="H15" i="22"/>
  <c r="Q15" i="22" s="1"/>
  <c r="P25" i="19"/>
  <c r="L12" i="19"/>
  <c r="B13" i="19"/>
  <c r="K13" i="19" s="1"/>
  <c r="K12" i="19"/>
  <c r="O12" i="19"/>
  <c r="P12" i="19"/>
  <c r="G13" i="19"/>
  <c r="P13" i="19" s="1"/>
  <c r="O25" i="15"/>
  <c r="P25" i="15"/>
  <c r="K12" i="15"/>
  <c r="L12" i="15"/>
  <c r="C13" i="15"/>
  <c r="L13" i="15" s="1"/>
  <c r="P12" i="15"/>
  <c r="O12" i="15"/>
  <c r="F13" i="15"/>
  <c r="O13" i="15" s="1"/>
  <c r="O12" i="16"/>
  <c r="F13" i="16"/>
  <c r="E13" i="16"/>
  <c r="N12" i="16"/>
  <c r="K12" i="16"/>
  <c r="B13" i="16"/>
  <c r="L13" i="16"/>
  <c r="M12" i="16"/>
  <c r="D13" i="16"/>
  <c r="P13" i="16"/>
  <c r="H13" i="16"/>
  <c r="Q12" i="16"/>
  <c r="H12" i="10"/>
  <c r="H25" i="10"/>
  <c r="Q25" i="10" s="1"/>
  <c r="Q11" i="10"/>
  <c r="N36" i="1"/>
  <c r="N10" i="3"/>
  <c r="N23" i="2"/>
  <c r="N15" i="2"/>
  <c r="N13" i="2"/>
  <c r="N9" i="2"/>
  <c r="N7" i="2"/>
  <c r="L19" i="1"/>
  <c r="L21" i="1"/>
  <c r="C10" i="5"/>
  <c r="K10" i="5" s="1"/>
  <c r="D10" i="5"/>
  <c r="L10" i="5" s="1"/>
  <c r="E10" i="5"/>
  <c r="E11" i="5" s="1"/>
  <c r="F10" i="5"/>
  <c r="F11" i="5" s="1"/>
  <c r="G10" i="5"/>
  <c r="G11" i="5" s="1"/>
  <c r="H10" i="5"/>
  <c r="H24" i="5" s="1"/>
  <c r="P24" i="5" s="1"/>
  <c r="B10" i="5"/>
  <c r="B11" i="5" s="1"/>
  <c r="L24" i="5"/>
  <c r="J25" i="5"/>
  <c r="K24" i="5"/>
  <c r="M24" i="5"/>
  <c r="J24" i="5"/>
  <c r="K23" i="5"/>
  <c r="P23" i="5"/>
  <c r="O23" i="5"/>
  <c r="L23" i="5"/>
  <c r="M23" i="5"/>
  <c r="J23" i="5"/>
  <c r="K22" i="5"/>
  <c r="P22" i="5"/>
  <c r="O22" i="5"/>
  <c r="L22" i="5"/>
  <c r="M22" i="5"/>
  <c r="J22" i="5"/>
  <c r="K21" i="5"/>
  <c r="P21" i="5"/>
  <c r="N21" i="5"/>
  <c r="L21" i="5"/>
  <c r="M21" i="5"/>
  <c r="J20" i="5"/>
  <c r="P20" i="5"/>
  <c r="N20" i="5"/>
  <c r="L20" i="5"/>
  <c r="M20" i="5"/>
  <c r="K20" i="5"/>
  <c r="K19" i="5"/>
  <c r="P19" i="5"/>
  <c r="O19" i="5"/>
  <c r="L19" i="5"/>
  <c r="M19" i="5"/>
  <c r="J19" i="5"/>
  <c r="K18" i="5"/>
  <c r="P18" i="5"/>
  <c r="O18" i="5"/>
  <c r="L18" i="5"/>
  <c r="M18" i="5"/>
  <c r="J18" i="5"/>
  <c r="K17" i="5"/>
  <c r="P17" i="5"/>
  <c r="N17" i="5"/>
  <c r="L17" i="5"/>
  <c r="M17" i="5"/>
  <c r="P10" i="5"/>
  <c r="N10" i="5"/>
  <c r="J10" i="5"/>
  <c r="P9" i="5"/>
  <c r="O9" i="5"/>
  <c r="N9" i="5"/>
  <c r="M9" i="5"/>
  <c r="L9" i="5"/>
  <c r="K9" i="5"/>
  <c r="J9" i="5"/>
  <c r="P8" i="5"/>
  <c r="O8" i="5"/>
  <c r="N8" i="5"/>
  <c r="M8" i="5"/>
  <c r="L8" i="5"/>
  <c r="K8" i="5"/>
  <c r="J8" i="5"/>
  <c r="P7" i="5"/>
  <c r="O7" i="5"/>
  <c r="N7" i="5"/>
  <c r="M7" i="5"/>
  <c r="L7" i="5"/>
  <c r="K7" i="5"/>
  <c r="J7" i="5"/>
  <c r="P6" i="5"/>
  <c r="O6" i="5"/>
  <c r="N6" i="5"/>
  <c r="M6" i="5"/>
  <c r="L6" i="5"/>
  <c r="K6" i="5"/>
  <c r="J6" i="5"/>
  <c r="P5" i="5"/>
  <c r="O5" i="5"/>
  <c r="N5" i="5"/>
  <c r="M5" i="5"/>
  <c r="L5" i="5"/>
  <c r="K5" i="5"/>
  <c r="J5" i="5"/>
  <c r="P4" i="5"/>
  <c r="O4" i="5"/>
  <c r="N4" i="5"/>
  <c r="M4" i="5"/>
  <c r="L4" i="5"/>
  <c r="K4" i="5"/>
  <c r="J4" i="5"/>
  <c r="P3" i="5"/>
  <c r="O3" i="5"/>
  <c r="N3" i="5"/>
  <c r="M3" i="5"/>
  <c r="L3" i="5"/>
  <c r="K3" i="5"/>
  <c r="J3" i="5"/>
  <c r="N20" i="4"/>
  <c r="N22" i="4"/>
  <c r="O22" i="4"/>
  <c r="Q22" i="4"/>
  <c r="L23" i="4"/>
  <c r="N23" i="4"/>
  <c r="Q23" i="4"/>
  <c r="K24" i="4"/>
  <c r="N24" i="4"/>
  <c r="M24" i="4"/>
  <c r="O24" i="4"/>
  <c r="K25" i="4"/>
  <c r="L25" i="4"/>
  <c r="M25" i="4"/>
  <c r="O25" i="4"/>
  <c r="L17" i="4"/>
  <c r="N17" i="4"/>
  <c r="M17" i="4"/>
  <c r="Q17" i="4"/>
  <c r="K19" i="4"/>
  <c r="K6" i="4"/>
  <c r="L6" i="4"/>
  <c r="M6" i="4"/>
  <c r="N6" i="4"/>
  <c r="O6" i="4"/>
  <c r="P6" i="4"/>
  <c r="Q6" i="4"/>
  <c r="K7" i="4"/>
  <c r="L7" i="4"/>
  <c r="M7" i="4"/>
  <c r="N7" i="4"/>
  <c r="O7" i="4"/>
  <c r="P7" i="4"/>
  <c r="Q7" i="4"/>
  <c r="K8" i="4"/>
  <c r="L8" i="4"/>
  <c r="M8" i="4"/>
  <c r="N8" i="4"/>
  <c r="O8" i="4"/>
  <c r="P8" i="4"/>
  <c r="Q8" i="4"/>
  <c r="K9" i="4"/>
  <c r="L9" i="4"/>
  <c r="M9" i="4"/>
  <c r="N9" i="4"/>
  <c r="O9" i="4"/>
  <c r="P9" i="4"/>
  <c r="Q9" i="4"/>
  <c r="K10" i="4"/>
  <c r="L10" i="4"/>
  <c r="M10" i="4"/>
  <c r="N10" i="4"/>
  <c r="O10" i="4"/>
  <c r="P10" i="4"/>
  <c r="Q10" i="4"/>
  <c r="K11" i="4"/>
  <c r="L11" i="4"/>
  <c r="M11" i="4"/>
  <c r="N11" i="4"/>
  <c r="O11" i="4"/>
  <c r="P11" i="4"/>
  <c r="Q11" i="4"/>
  <c r="K12" i="4"/>
  <c r="L12" i="4"/>
  <c r="M12" i="4"/>
  <c r="N12" i="4"/>
  <c r="O12" i="4"/>
  <c r="P12" i="4"/>
  <c r="Q12" i="4"/>
  <c r="K13" i="4"/>
  <c r="L13" i="4"/>
  <c r="M13" i="4"/>
  <c r="N13" i="4"/>
  <c r="O13" i="4"/>
  <c r="P13" i="4"/>
  <c r="Q13" i="4"/>
  <c r="Q25" i="4"/>
  <c r="P25" i="4"/>
  <c r="N25" i="4"/>
  <c r="Q24" i="4"/>
  <c r="P24" i="4"/>
  <c r="L24" i="4"/>
  <c r="P23" i="4"/>
  <c r="O23" i="4"/>
  <c r="M23" i="4"/>
  <c r="K23" i="4"/>
  <c r="M22" i="4"/>
  <c r="L22" i="4"/>
  <c r="K22" i="4"/>
  <c r="Q21" i="4"/>
  <c r="P21" i="4"/>
  <c r="O21" i="4"/>
  <c r="M21" i="4"/>
  <c r="L21" i="4"/>
  <c r="K21" i="4"/>
  <c r="N21" i="4"/>
  <c r="Q20" i="4"/>
  <c r="P20" i="4"/>
  <c r="O20" i="4"/>
  <c r="M20" i="4"/>
  <c r="L20" i="4"/>
  <c r="K20" i="4"/>
  <c r="Q19" i="4"/>
  <c r="P19" i="4"/>
  <c r="O19" i="4"/>
  <c r="M19" i="4"/>
  <c r="L19" i="4"/>
  <c r="N19" i="4"/>
  <c r="Q18" i="4"/>
  <c r="P18" i="4"/>
  <c r="O18" i="4"/>
  <c r="M18" i="4"/>
  <c r="L18" i="4"/>
  <c r="K18" i="4"/>
  <c r="N18" i="4"/>
  <c r="P17" i="4"/>
  <c r="O17" i="4"/>
  <c r="K17" i="4"/>
  <c r="Q5" i="4"/>
  <c r="P5" i="4"/>
  <c r="O5" i="4"/>
  <c r="M5" i="4"/>
  <c r="K5" i="4"/>
  <c r="N5" i="4"/>
  <c r="L5" i="4"/>
  <c r="Q4" i="4"/>
  <c r="P4" i="4"/>
  <c r="O4" i="4"/>
  <c r="M4" i="4"/>
  <c r="K4" i="4"/>
  <c r="N4" i="4"/>
  <c r="L4" i="4"/>
  <c r="Q3" i="4"/>
  <c r="P3" i="4"/>
  <c r="O3" i="4"/>
  <c r="M3" i="4"/>
  <c r="K3" i="4"/>
  <c r="N3" i="4"/>
  <c r="L3" i="4"/>
  <c r="N21" i="3"/>
  <c r="N24" i="3"/>
  <c r="L25" i="3"/>
  <c r="P24" i="3"/>
  <c r="O24" i="3"/>
  <c r="M24" i="3"/>
  <c r="L24" i="3"/>
  <c r="K24" i="3"/>
  <c r="Q23" i="3"/>
  <c r="M23" i="3"/>
  <c r="L23" i="3"/>
  <c r="K23" i="3"/>
  <c r="N23" i="3"/>
  <c r="Q22" i="3"/>
  <c r="P22" i="3"/>
  <c r="O22" i="3"/>
  <c r="M22" i="3"/>
  <c r="L22" i="3"/>
  <c r="K22" i="3"/>
  <c r="N22" i="3"/>
  <c r="Q21" i="3"/>
  <c r="P21" i="3"/>
  <c r="O21" i="3"/>
  <c r="M21" i="3"/>
  <c r="L21" i="3"/>
  <c r="K21" i="3"/>
  <c r="Q20" i="3"/>
  <c r="L20" i="3"/>
  <c r="Q19" i="3"/>
  <c r="L19" i="3"/>
  <c r="K19" i="3"/>
  <c r="N19" i="3"/>
  <c r="Q15" i="3"/>
  <c r="Q13" i="3"/>
  <c r="M13" i="3"/>
  <c r="Q12" i="3"/>
  <c r="M12" i="3"/>
  <c r="Q11" i="3"/>
  <c r="P11" i="3"/>
  <c r="M11" i="3"/>
  <c r="L11" i="3"/>
  <c r="K11" i="3"/>
  <c r="Q10" i="3"/>
  <c r="P10" i="3"/>
  <c r="O10" i="3"/>
  <c r="M10" i="3"/>
  <c r="L10" i="3"/>
  <c r="K10" i="3"/>
  <c r="Q9" i="3"/>
  <c r="P9" i="3"/>
  <c r="O9" i="3"/>
  <c r="M9" i="3"/>
  <c r="K9" i="3"/>
  <c r="N9" i="3"/>
  <c r="L9" i="3"/>
  <c r="Q8" i="3"/>
  <c r="P8" i="3"/>
  <c r="O8" i="3"/>
  <c r="M8" i="3"/>
  <c r="K8" i="3"/>
  <c r="N8" i="3"/>
  <c r="L8" i="3"/>
  <c r="Q7" i="3"/>
  <c r="P7" i="3"/>
  <c r="O7" i="3"/>
  <c r="M7" i="3"/>
  <c r="L7" i="3"/>
  <c r="K7" i="3"/>
  <c r="N7" i="3"/>
  <c r="Q6" i="3"/>
  <c r="P6" i="3"/>
  <c r="O6" i="3"/>
  <c r="M6" i="3"/>
  <c r="K6" i="3"/>
  <c r="Q5" i="3"/>
  <c r="M5" i="3"/>
  <c r="K5" i="3"/>
  <c r="N5" i="3"/>
  <c r="K22" i="2"/>
  <c r="L22" i="2"/>
  <c r="M22" i="2"/>
  <c r="N22" i="2"/>
  <c r="O22" i="2"/>
  <c r="P22" i="2"/>
  <c r="Q22" i="2"/>
  <c r="K23" i="2"/>
  <c r="L23" i="2"/>
  <c r="M23" i="2"/>
  <c r="O23" i="2"/>
  <c r="P23" i="2"/>
  <c r="Q23" i="2"/>
  <c r="K24" i="2"/>
  <c r="L24" i="2"/>
  <c r="M24" i="2"/>
  <c r="N24" i="2"/>
  <c r="O24" i="2"/>
  <c r="P24" i="2"/>
  <c r="Q24" i="2"/>
  <c r="K25" i="2"/>
  <c r="L25" i="2"/>
  <c r="M25" i="2"/>
  <c r="N25" i="2"/>
  <c r="O25" i="2"/>
  <c r="P25" i="2"/>
  <c r="Q25" i="2"/>
  <c r="K26" i="2"/>
  <c r="L26" i="2"/>
  <c r="M26" i="2"/>
  <c r="N26" i="2"/>
  <c r="O26" i="2"/>
  <c r="P26" i="2"/>
  <c r="Q26" i="2"/>
  <c r="K27" i="2"/>
  <c r="L27" i="2"/>
  <c r="M27" i="2"/>
  <c r="N27" i="2"/>
  <c r="O27" i="2"/>
  <c r="P27" i="2"/>
  <c r="Q27" i="2"/>
  <c r="K28" i="2"/>
  <c r="L28" i="2"/>
  <c r="M28" i="2"/>
  <c r="N28" i="2"/>
  <c r="O28" i="2"/>
  <c r="P28" i="2"/>
  <c r="Q28" i="2"/>
  <c r="K29" i="2"/>
  <c r="L29" i="2"/>
  <c r="M29" i="2"/>
  <c r="N29" i="2"/>
  <c r="O29" i="2"/>
  <c r="P29" i="2"/>
  <c r="Q29" i="2"/>
  <c r="O21" i="2"/>
  <c r="N12" i="2"/>
  <c r="N16" i="2"/>
  <c r="L7" i="2"/>
  <c r="L11" i="2"/>
  <c r="L16" i="2"/>
  <c r="K16" i="2"/>
  <c r="M16" i="2"/>
  <c r="O16" i="2"/>
  <c r="P16" i="2"/>
  <c r="Q16" i="2"/>
  <c r="Q21" i="2"/>
  <c r="P21" i="2"/>
  <c r="M21" i="2"/>
  <c r="L21" i="2"/>
  <c r="K21" i="2"/>
  <c r="N21" i="2"/>
  <c r="Q15" i="2"/>
  <c r="P15" i="2"/>
  <c r="O15" i="2"/>
  <c r="M15" i="2"/>
  <c r="K15" i="2"/>
  <c r="L15" i="2"/>
  <c r="Q14" i="2"/>
  <c r="P14" i="2"/>
  <c r="O14" i="2"/>
  <c r="M14" i="2"/>
  <c r="K14" i="2"/>
  <c r="N14" i="2"/>
  <c r="L14" i="2"/>
  <c r="Q13" i="2"/>
  <c r="P13" i="2"/>
  <c r="O13" i="2"/>
  <c r="M13" i="2"/>
  <c r="K13" i="2"/>
  <c r="L13" i="2"/>
  <c r="Q12" i="2"/>
  <c r="P12" i="2"/>
  <c r="O12" i="2"/>
  <c r="M12" i="2"/>
  <c r="K12" i="2"/>
  <c r="L12" i="2"/>
  <c r="Q11" i="2"/>
  <c r="P11" i="2"/>
  <c r="O11" i="2"/>
  <c r="M11" i="2"/>
  <c r="K11" i="2"/>
  <c r="N11" i="2"/>
  <c r="Q10" i="2"/>
  <c r="P10" i="2"/>
  <c r="O10" i="2"/>
  <c r="M10" i="2"/>
  <c r="K10" i="2"/>
  <c r="N10" i="2"/>
  <c r="L10" i="2"/>
  <c r="Q9" i="2"/>
  <c r="P9" i="2"/>
  <c r="O9" i="2"/>
  <c r="M9" i="2"/>
  <c r="K9" i="2"/>
  <c r="L9" i="2"/>
  <c r="Q8" i="2"/>
  <c r="P8" i="2"/>
  <c r="O8" i="2"/>
  <c r="M8" i="2"/>
  <c r="K8" i="2"/>
  <c r="N8" i="2"/>
  <c r="L8" i="2"/>
  <c r="Q7" i="2"/>
  <c r="P7" i="2"/>
  <c r="O7" i="2"/>
  <c r="M7" i="2"/>
  <c r="K7" i="2"/>
  <c r="Q6" i="2"/>
  <c r="P6" i="2"/>
  <c r="O6" i="2"/>
  <c r="N6" i="2"/>
  <c r="M6" i="2"/>
  <c r="L6" i="2"/>
  <c r="K6" i="2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L28" i="1"/>
  <c r="M28" i="1"/>
  <c r="N29" i="1"/>
  <c r="N30" i="1"/>
  <c r="N33" i="1"/>
  <c r="N35" i="1"/>
  <c r="Q36" i="1"/>
  <c r="P36" i="1"/>
  <c r="O36" i="1"/>
  <c r="Q35" i="1"/>
  <c r="P35" i="1"/>
  <c r="O35" i="1"/>
  <c r="Q34" i="1"/>
  <c r="P34" i="1"/>
  <c r="O34" i="1"/>
  <c r="Q33" i="1"/>
  <c r="P33" i="1"/>
  <c r="O33" i="1"/>
  <c r="Q32" i="1"/>
  <c r="P32" i="1"/>
  <c r="O32" i="1"/>
  <c r="Q31" i="1"/>
  <c r="P31" i="1"/>
  <c r="O31" i="1"/>
  <c r="Q30" i="1"/>
  <c r="P30" i="1"/>
  <c r="O30" i="1"/>
  <c r="Q29" i="1"/>
  <c r="P29" i="1"/>
  <c r="O29" i="1"/>
  <c r="Q28" i="1"/>
  <c r="P28" i="1"/>
  <c r="O28" i="1"/>
  <c r="N28" i="1"/>
  <c r="K28" i="1"/>
  <c r="N34" i="1"/>
  <c r="N32" i="1"/>
  <c r="N31" i="1"/>
  <c r="N16" i="1"/>
  <c r="N17" i="1"/>
  <c r="N21" i="1"/>
  <c r="L15" i="1"/>
  <c r="L18" i="1"/>
  <c r="L22" i="1"/>
  <c r="L14" i="1"/>
  <c r="M14" i="1"/>
  <c r="N14" i="1"/>
  <c r="O14" i="1"/>
  <c r="P14" i="1"/>
  <c r="Q14" i="1"/>
  <c r="M15" i="1"/>
  <c r="N15" i="1"/>
  <c r="O15" i="1"/>
  <c r="P15" i="1"/>
  <c r="Q15" i="1"/>
  <c r="L16" i="1"/>
  <c r="M16" i="1"/>
  <c r="O16" i="1"/>
  <c r="P16" i="1"/>
  <c r="Q16" i="1"/>
  <c r="L17" i="1"/>
  <c r="M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L20" i="1"/>
  <c r="M20" i="1"/>
  <c r="N20" i="1"/>
  <c r="O20" i="1"/>
  <c r="P20" i="1"/>
  <c r="Q20" i="1"/>
  <c r="M21" i="1"/>
  <c r="O21" i="1"/>
  <c r="P21" i="1"/>
  <c r="Q21" i="1"/>
  <c r="M22" i="1"/>
  <c r="N22" i="1"/>
  <c r="O22" i="1"/>
  <c r="P22" i="1"/>
  <c r="Q22" i="1"/>
  <c r="K14" i="1"/>
  <c r="K15" i="1"/>
  <c r="K16" i="1"/>
  <c r="K17" i="1"/>
  <c r="K18" i="1"/>
  <c r="K19" i="1"/>
  <c r="K20" i="1"/>
  <c r="K21" i="1"/>
  <c r="K22" i="1"/>
  <c r="L13" i="1"/>
  <c r="M13" i="1"/>
  <c r="N13" i="1"/>
  <c r="O13" i="1"/>
  <c r="P13" i="1"/>
  <c r="Q13" i="1"/>
  <c r="K13" i="1"/>
  <c r="L23" i="1"/>
  <c r="M23" i="1"/>
  <c r="N23" i="1"/>
  <c r="O23" i="1"/>
  <c r="P23" i="1"/>
  <c r="Q23" i="1"/>
  <c r="K23" i="1"/>
  <c r="N13" i="16"/>
  <c r="O13" i="16"/>
  <c r="Q13" i="16"/>
  <c r="M13" i="16"/>
  <c r="K13" i="16"/>
  <c r="H13" i="10"/>
  <c r="Q12" i="10"/>
  <c r="H11" i="5"/>
  <c r="P11" i="5" s="1"/>
  <c r="C11" i="5"/>
  <c r="C12" i="5" s="1"/>
  <c r="C24" i="5"/>
  <c r="O25" i="5"/>
  <c r="H12" i="5"/>
  <c r="H13" i="5" s="1"/>
  <c r="P13" i="5" s="1"/>
  <c r="L25" i="5"/>
  <c r="O10" i="5"/>
  <c r="N24" i="5"/>
  <c r="P25" i="5"/>
  <c r="K25" i="5"/>
  <c r="M10" i="5"/>
  <c r="K11" i="5"/>
  <c r="M25" i="5"/>
  <c r="O17" i="5"/>
  <c r="O24" i="5"/>
  <c r="O21" i="5"/>
  <c r="O20" i="5"/>
  <c r="N18" i="5"/>
  <c r="N22" i="5"/>
  <c r="N25" i="5"/>
  <c r="N19" i="5"/>
  <c r="N23" i="5"/>
  <c r="P22" i="4"/>
  <c r="Q13" i="10"/>
  <c r="P12" i="5"/>
  <c r="G11" i="21" l="1"/>
  <c r="P10" i="21"/>
  <c r="C21" i="21"/>
  <c r="P22" i="21"/>
  <c r="D10" i="21"/>
  <c r="D24" i="21"/>
  <c r="L23" i="21"/>
  <c r="C20" i="21"/>
  <c r="C5" i="21"/>
  <c r="L6" i="21"/>
  <c r="G24" i="21"/>
  <c r="G25" i="21" s="1"/>
  <c r="O23" i="21"/>
  <c r="P23" i="21"/>
  <c r="L22" i="21"/>
  <c r="K23" i="21"/>
  <c r="D25" i="21"/>
  <c r="L24" i="21"/>
  <c r="F11" i="21"/>
  <c r="O10" i="21"/>
  <c r="C11" i="21"/>
  <c r="L10" i="21"/>
  <c r="B20" i="21"/>
  <c r="K20" i="21" s="1"/>
  <c r="K6" i="21"/>
  <c r="B5" i="21"/>
  <c r="H11" i="21"/>
  <c r="Q10" i="21"/>
  <c r="E11" i="21"/>
  <c r="N10" i="21"/>
  <c r="K10" i="21"/>
  <c r="B11" i="21"/>
  <c r="F24" i="21"/>
  <c r="M23" i="21"/>
  <c r="P6" i="21"/>
  <c r="G20" i="21"/>
  <c r="G5" i="21"/>
  <c r="P11" i="21"/>
  <c r="G12" i="21"/>
  <c r="Q23" i="21"/>
  <c r="H24" i="21"/>
  <c r="E24" i="21"/>
  <c r="N23" i="21"/>
  <c r="B25" i="21"/>
  <c r="K24" i="21"/>
  <c r="E6" i="21"/>
  <c r="M22" i="21"/>
  <c r="Q9" i="21"/>
  <c r="D11" i="28"/>
  <c r="D25" i="28" s="1"/>
  <c r="E4" i="28"/>
  <c r="E19" i="28"/>
  <c r="N19" i="28" s="1"/>
  <c r="M5" i="28"/>
  <c r="B10" i="28"/>
  <c r="B23" i="28"/>
  <c r="K23" i="28" s="1"/>
  <c r="Q14" i="3"/>
  <c r="N6" i="3"/>
  <c r="H26" i="3"/>
  <c r="Q26" i="3" s="1"/>
  <c r="H25" i="3"/>
  <c r="Q25" i="3" s="1"/>
  <c r="H24" i="3"/>
  <c r="Q24" i="3" s="1"/>
  <c r="H27" i="3"/>
  <c r="Q27" i="3" s="1"/>
  <c r="E20" i="3"/>
  <c r="N20" i="3" s="1"/>
  <c r="E11" i="3"/>
  <c r="N11" i="3" s="1"/>
  <c r="D14" i="3"/>
  <c r="D27" i="3"/>
  <c r="L27" i="3" s="1"/>
  <c r="P23" i="3"/>
  <c r="E12" i="3"/>
  <c r="E25" i="3"/>
  <c r="N25" i="3" s="1"/>
  <c r="G12" i="3"/>
  <c r="G25" i="3"/>
  <c r="F5" i="3"/>
  <c r="F20" i="3"/>
  <c r="M20" i="3" s="1"/>
  <c r="C20" i="3"/>
  <c r="C5" i="3"/>
  <c r="F12" i="3"/>
  <c r="F25" i="3"/>
  <c r="M25" i="3" s="1"/>
  <c r="G5" i="3"/>
  <c r="G20" i="3"/>
  <c r="L6" i="3"/>
  <c r="O11" i="3"/>
  <c r="B12" i="3"/>
  <c r="B25" i="3"/>
  <c r="K25" i="3" s="1"/>
  <c r="C25" i="3"/>
  <c r="C12" i="3"/>
  <c r="C19" i="26"/>
  <c r="L5" i="26"/>
  <c r="K12" i="26"/>
  <c r="B13" i="26"/>
  <c r="F11" i="26"/>
  <c r="O10" i="26"/>
  <c r="L10" i="26"/>
  <c r="C11" i="26"/>
  <c r="P10" i="26"/>
  <c r="G11" i="26"/>
  <c r="K6" i="26"/>
  <c r="O9" i="26"/>
  <c r="G20" i="26"/>
  <c r="O20" i="26" s="1"/>
  <c r="B19" i="26"/>
  <c r="K19" i="26" s="1"/>
  <c r="K5" i="26"/>
  <c r="G25" i="26"/>
  <c r="O24" i="26"/>
  <c r="P24" i="26"/>
  <c r="Q26" i="26"/>
  <c r="H27" i="26"/>
  <c r="Q27" i="26" s="1"/>
  <c r="Q25" i="26"/>
  <c r="O21" i="26"/>
  <c r="D6" i="26"/>
  <c r="M22" i="26"/>
  <c r="H13" i="26"/>
  <c r="B25" i="26"/>
  <c r="P20" i="26"/>
  <c r="E21" i="26"/>
  <c r="N21" i="26" s="1"/>
  <c r="M23" i="26"/>
  <c r="F24" i="26"/>
  <c r="Q6" i="26"/>
  <c r="H5" i="26"/>
  <c r="H20" i="26"/>
  <c r="Q20" i="26" s="1"/>
  <c r="M11" i="26"/>
  <c r="D12" i="26"/>
  <c r="E24" i="26"/>
  <c r="N23" i="26"/>
  <c r="H21" i="26"/>
  <c r="Q21" i="26" s="1"/>
  <c r="E11" i="26"/>
  <c r="F6" i="26"/>
  <c r="O22" i="24"/>
  <c r="L9" i="24"/>
  <c r="E21" i="24"/>
  <c r="N21" i="24" s="1"/>
  <c r="K7" i="24"/>
  <c r="P12" i="24"/>
  <c r="K9" i="24"/>
  <c r="Q9" i="24"/>
  <c r="B6" i="24"/>
  <c r="D12" i="24"/>
  <c r="M11" i="24"/>
  <c r="E24" i="24"/>
  <c r="E25" i="24" s="1"/>
  <c r="N23" i="24"/>
  <c r="G14" i="24"/>
  <c r="P13" i="24"/>
  <c r="M5" i="24"/>
  <c r="D19" i="24"/>
  <c r="L19" i="24" s="1"/>
  <c r="K6" i="24"/>
  <c r="P22" i="24"/>
  <c r="P20" i="24"/>
  <c r="K24" i="24"/>
  <c r="N22" i="24"/>
  <c r="L22" i="24"/>
  <c r="Q22" i="24"/>
  <c r="F21" i="24"/>
  <c r="M21" i="24" s="1"/>
  <c r="P23" i="24"/>
  <c r="G24" i="24"/>
  <c r="O23" i="24"/>
  <c r="G19" i="24"/>
  <c r="P5" i="24"/>
  <c r="O6" i="24"/>
  <c r="F5" i="24"/>
  <c r="F20" i="24"/>
  <c r="M20" i="24" s="1"/>
  <c r="Q23" i="24"/>
  <c r="H24" i="24"/>
  <c r="B11" i="24"/>
  <c r="K10" i="24"/>
  <c r="F24" i="24"/>
  <c r="M23" i="24"/>
  <c r="K25" i="24"/>
  <c r="B26" i="24"/>
  <c r="O10" i="24"/>
  <c r="F11" i="24"/>
  <c r="E20" i="24"/>
  <c r="N20" i="24" s="1"/>
  <c r="N6" i="24"/>
  <c r="E5" i="24"/>
  <c r="Q6" i="24"/>
  <c r="H5" i="24"/>
  <c r="H20" i="24"/>
  <c r="Q20" i="24" s="1"/>
  <c r="C11" i="24"/>
  <c r="L10" i="24"/>
  <c r="Q10" i="24"/>
  <c r="H11" i="24"/>
  <c r="D24" i="24"/>
  <c r="L23" i="24"/>
  <c r="C6" i="24"/>
  <c r="E10" i="24"/>
  <c r="B6" i="25"/>
  <c r="H10" i="25"/>
  <c r="C19" i="25"/>
  <c r="L5" i="25"/>
  <c r="E11" i="25"/>
  <c r="E12" i="25" s="1"/>
  <c r="N10" i="25"/>
  <c r="D5" i="25"/>
  <c r="D20" i="25"/>
  <c r="L20" i="25" s="1"/>
  <c r="M6" i="25"/>
  <c r="K24" i="25"/>
  <c r="B25" i="25"/>
  <c r="D12" i="25"/>
  <c r="M11" i="25"/>
  <c r="O12" i="25"/>
  <c r="F13" i="25"/>
  <c r="B11" i="25"/>
  <c r="D21" i="25"/>
  <c r="L21" i="25" s="1"/>
  <c r="M7" i="25"/>
  <c r="Q6" i="25"/>
  <c r="G19" i="25"/>
  <c r="O11" i="25"/>
  <c r="L6" i="25"/>
  <c r="N6" i="25"/>
  <c r="F20" i="25"/>
  <c r="M20" i="25" s="1"/>
  <c r="K6" i="25"/>
  <c r="B21" i="25"/>
  <c r="K21" i="25" s="1"/>
  <c r="N9" i="25"/>
  <c r="G10" i="25"/>
  <c r="G23" i="25"/>
  <c r="E5" i="25"/>
  <c r="O6" i="25"/>
  <c r="L10" i="25"/>
  <c r="C11" i="25"/>
  <c r="D24" i="25"/>
  <c r="L23" i="25"/>
  <c r="O5" i="25"/>
  <c r="F19" i="25"/>
  <c r="M19" i="25" s="1"/>
  <c r="Q23" i="25"/>
  <c r="H24" i="25"/>
  <c r="N24" i="25"/>
  <c r="E25" i="25"/>
  <c r="N11" i="25"/>
  <c r="M23" i="25"/>
  <c r="F24" i="25"/>
  <c r="N23" i="25"/>
  <c r="K23" i="23"/>
  <c r="B24" i="23"/>
  <c r="L26" i="23"/>
  <c r="D27" i="23"/>
  <c r="L27" i="23" s="1"/>
  <c r="E21" i="23"/>
  <c r="N21" i="23" s="1"/>
  <c r="M7" i="23"/>
  <c r="F27" i="23"/>
  <c r="M27" i="23" s="1"/>
  <c r="M26" i="23"/>
  <c r="L13" i="23"/>
  <c r="C14" i="23"/>
  <c r="L6" i="23"/>
  <c r="C20" i="23"/>
  <c r="C5" i="23"/>
  <c r="G26" i="23"/>
  <c r="H10" i="23"/>
  <c r="Q22" i="23"/>
  <c r="F21" i="23"/>
  <c r="M21" i="23" s="1"/>
  <c r="C21" i="23"/>
  <c r="G10" i="23"/>
  <c r="P10" i="23" s="1"/>
  <c r="L7" i="23"/>
  <c r="F6" i="23"/>
  <c r="M6" i="23"/>
  <c r="D20" i="23"/>
  <c r="L20" i="23" s="1"/>
  <c r="D5" i="23"/>
  <c r="H5" i="23"/>
  <c r="H20" i="23"/>
  <c r="Q20" i="23" s="1"/>
  <c r="Q6" i="23"/>
  <c r="F11" i="23"/>
  <c r="O10" i="23"/>
  <c r="E5" i="23"/>
  <c r="N6" i="23"/>
  <c r="E20" i="23"/>
  <c r="N20" i="23" s="1"/>
  <c r="D11" i="23"/>
  <c r="M10" i="23"/>
  <c r="H24" i="23"/>
  <c r="Q23" i="23"/>
  <c r="B11" i="23"/>
  <c r="K10" i="23"/>
  <c r="P6" i="23"/>
  <c r="G20" i="23"/>
  <c r="G5" i="23"/>
  <c r="D21" i="23"/>
  <c r="L21" i="23" s="1"/>
  <c r="E11" i="22"/>
  <c r="N10" i="22"/>
  <c r="C11" i="22"/>
  <c r="L10" i="22"/>
  <c r="P21" i="22"/>
  <c r="O21" i="22"/>
  <c r="G20" i="22"/>
  <c r="M14" i="22"/>
  <c r="Q5" i="22"/>
  <c r="H19" i="22"/>
  <c r="Q19" i="22" s="1"/>
  <c r="F26" i="22"/>
  <c r="M25" i="22"/>
  <c r="G19" i="22"/>
  <c r="P5" i="22"/>
  <c r="E24" i="22"/>
  <c r="N23" i="22"/>
  <c r="B13" i="22"/>
  <c r="K12" i="22"/>
  <c r="M5" i="22"/>
  <c r="D19" i="22"/>
  <c r="L19" i="22" s="1"/>
  <c r="P6" i="22"/>
  <c r="C6" i="22"/>
  <c r="M24" i="22"/>
  <c r="P19" i="20"/>
  <c r="O19" i="20"/>
  <c r="L5" i="20"/>
  <c r="P20" i="20"/>
  <c r="K3" i="20"/>
  <c r="F9" i="20"/>
  <c r="O9" i="20" s="1"/>
  <c r="P17" i="20"/>
  <c r="E3" i="20"/>
  <c r="D3" i="20"/>
  <c r="H19" i="20"/>
  <c r="Q19" i="20" s="1"/>
  <c r="M7" i="20"/>
  <c r="G21" i="20"/>
  <c r="D8" i="20"/>
  <c r="M8" i="20" s="1"/>
  <c r="O5" i="20"/>
  <c r="H23" i="20"/>
  <c r="Q23" i="20" s="1"/>
  <c r="H10" i="20"/>
  <c r="Q9" i="20"/>
  <c r="O4" i="20"/>
  <c r="F18" i="20"/>
  <c r="M18" i="20" s="1"/>
  <c r="F3" i="20"/>
  <c r="P22" i="20"/>
  <c r="O22" i="20"/>
  <c r="B10" i="20"/>
  <c r="C3" i="20"/>
  <c r="E8" i="20"/>
  <c r="H3" i="20"/>
  <c r="C8" i="20"/>
  <c r="P8" i="20"/>
  <c r="Q8" i="20"/>
  <c r="H18" i="20"/>
  <c r="Q18" i="20" s="1"/>
  <c r="F19" i="20"/>
  <c r="M19" i="20" s="1"/>
  <c r="C21" i="20"/>
  <c r="B23" i="20"/>
  <c r="K23" i="20" s="1"/>
  <c r="L4" i="20"/>
  <c r="G9" i="20"/>
  <c r="E4" i="19"/>
  <c r="N8" i="19"/>
  <c r="E22" i="19"/>
  <c r="N22" i="19" s="1"/>
  <c r="E9" i="19"/>
  <c r="B18" i="19"/>
  <c r="K18" i="19" s="1"/>
  <c r="B3" i="19"/>
  <c r="K4" i="19"/>
  <c r="G18" i="19"/>
  <c r="G3" i="19"/>
  <c r="P4" i="19"/>
  <c r="M9" i="19"/>
  <c r="D23" i="19"/>
  <c r="L23" i="19" s="1"/>
  <c r="D10" i="19"/>
  <c r="L4" i="19"/>
  <c r="C18" i="19"/>
  <c r="C3" i="19"/>
  <c r="D4" i="18"/>
  <c r="P5" i="18"/>
  <c r="K12" i="18"/>
  <c r="B13" i="18"/>
  <c r="K13" i="18" s="1"/>
  <c r="D9" i="15"/>
  <c r="D10" i="15" s="1"/>
  <c r="M8" i="15"/>
  <c r="D22" i="15"/>
  <c r="L22" i="15" s="1"/>
  <c r="E23" i="15"/>
  <c r="N23" i="15" s="1"/>
  <c r="F3" i="15"/>
  <c r="O20" i="15"/>
  <c r="N10" i="15"/>
  <c r="E24" i="15"/>
  <c r="N24" i="15" s="1"/>
  <c r="E11" i="15"/>
  <c r="M4" i="15"/>
  <c r="D18" i="15"/>
  <c r="L18" i="15" s="1"/>
  <c r="D3" i="15"/>
  <c r="Q3" i="15"/>
  <c r="H17" i="15"/>
  <c r="Q17" i="15" s="1"/>
  <c r="M9" i="15"/>
  <c r="D23" i="15"/>
  <c r="L23" i="15" s="1"/>
  <c r="E3" i="15"/>
  <c r="K4" i="16"/>
  <c r="B3" i="16"/>
  <c r="B18" i="16"/>
  <c r="K18" i="16" s="1"/>
  <c r="O22" i="16"/>
  <c r="P22" i="16"/>
  <c r="O23" i="16"/>
  <c r="P23" i="16"/>
  <c r="C3" i="16"/>
  <c r="C18" i="16"/>
  <c r="L4" i="16"/>
  <c r="F18" i="16"/>
  <c r="M18" i="16" s="1"/>
  <c r="F3" i="16"/>
  <c r="O4" i="16"/>
  <c r="H3" i="16"/>
  <c r="L7" i="14"/>
  <c r="C19" i="14"/>
  <c r="C8" i="14"/>
  <c r="L5" i="14"/>
  <c r="C3" i="14"/>
  <c r="L3" i="14" s="1"/>
  <c r="L4" i="14"/>
  <c r="C18" i="14"/>
  <c r="B18" i="14"/>
  <c r="K18" i="14" s="1"/>
  <c r="K4" i="14"/>
  <c r="Q8" i="14"/>
  <c r="H9" i="14"/>
  <c r="H22" i="14"/>
  <c r="Q22" i="14" s="1"/>
  <c r="G3" i="14"/>
  <c r="G18" i="14"/>
  <c r="P4" i="14"/>
  <c r="G22" i="14"/>
  <c r="P8" i="14"/>
  <c r="G9" i="14"/>
  <c r="H18" i="14"/>
  <c r="Q18" i="14" s="1"/>
  <c r="Q4" i="14"/>
  <c r="H3" i="14"/>
  <c r="F3" i="14"/>
  <c r="O4" i="14"/>
  <c r="F18" i="14"/>
  <c r="M18" i="14" s="1"/>
  <c r="N8" i="14"/>
  <c r="E9" i="14"/>
  <c r="E22" i="14"/>
  <c r="N22" i="14" s="1"/>
  <c r="B23" i="14"/>
  <c r="K23" i="14" s="1"/>
  <c r="B10" i="14"/>
  <c r="K9" i="14"/>
  <c r="M4" i="14"/>
  <c r="D3" i="14"/>
  <c r="D18" i="14"/>
  <c r="L18" i="14" s="1"/>
  <c r="B22" i="14"/>
  <c r="K22" i="14" s="1"/>
  <c r="O7" i="14"/>
  <c r="F8" i="14"/>
  <c r="D8" i="14"/>
  <c r="G19" i="14"/>
  <c r="E4" i="14"/>
  <c r="B3" i="14"/>
  <c r="E19" i="14"/>
  <c r="N19" i="14" s="1"/>
  <c r="F8" i="17"/>
  <c r="H19" i="17"/>
  <c r="Q19" i="17" s="1"/>
  <c r="H21" i="17"/>
  <c r="Q21" i="17" s="1"/>
  <c r="G19" i="17"/>
  <c r="C19" i="17"/>
  <c r="B4" i="17"/>
  <c r="K4" i="17" s="1"/>
  <c r="B3" i="17"/>
  <c r="K3" i="17" s="1"/>
  <c r="G9" i="17"/>
  <c r="P9" i="17" s="1"/>
  <c r="H8" i="17"/>
  <c r="C8" i="17"/>
  <c r="D19" i="17"/>
  <c r="L19" i="17" s="1"/>
  <c r="G4" i="17"/>
  <c r="G18" i="17" s="1"/>
  <c r="D4" i="17"/>
  <c r="E8" i="17"/>
  <c r="G23" i="17"/>
  <c r="G22" i="17"/>
  <c r="E22" i="17"/>
  <c r="N22" i="17" s="1"/>
  <c r="D8" i="17"/>
  <c r="B8" i="17"/>
  <c r="G21" i="17"/>
  <c r="E21" i="17"/>
  <c r="N21" i="17" s="1"/>
  <c r="C21" i="17"/>
  <c r="F19" i="17"/>
  <c r="M19" i="17" s="1"/>
  <c r="H4" i="17"/>
  <c r="D18" i="17"/>
  <c r="L18" i="17" s="1"/>
  <c r="C4" i="17"/>
  <c r="C22" i="17"/>
  <c r="E4" i="17"/>
  <c r="H22" i="17"/>
  <c r="Q22" i="17" s="1"/>
  <c r="F22" i="17"/>
  <c r="M22" i="17" s="1"/>
  <c r="F21" i="17"/>
  <c r="M21" i="17" s="1"/>
  <c r="D21" i="17"/>
  <c r="L21" i="17" s="1"/>
  <c r="B21" i="17"/>
  <c r="K21" i="17" s="1"/>
  <c r="F4" i="17"/>
  <c r="B18" i="17"/>
  <c r="K18" i="17" s="1"/>
  <c r="E3" i="13"/>
  <c r="N3" i="13" s="1"/>
  <c r="E18" i="13"/>
  <c r="N18" i="13" s="1"/>
  <c r="N4" i="13"/>
  <c r="G8" i="13"/>
  <c r="C19" i="13"/>
  <c r="D21" i="13"/>
  <c r="L21" i="13" s="1"/>
  <c r="H19" i="13"/>
  <c r="Q19" i="13" s="1"/>
  <c r="C3" i="13"/>
  <c r="C17" i="13" s="1"/>
  <c r="C18" i="13"/>
  <c r="L4" i="13"/>
  <c r="C9" i="13"/>
  <c r="L9" i="13" s="1"/>
  <c r="C22" i="13"/>
  <c r="L8" i="13"/>
  <c r="F3" i="13"/>
  <c r="O3" i="13" s="1"/>
  <c r="F18" i="13"/>
  <c r="M18" i="13" s="1"/>
  <c r="O4" i="13"/>
  <c r="B3" i="13"/>
  <c r="B17" i="13" s="1"/>
  <c r="K17" i="13" s="1"/>
  <c r="B18" i="13"/>
  <c r="K18" i="13" s="1"/>
  <c r="K4" i="13"/>
  <c r="F19" i="13"/>
  <c r="M19" i="13" s="1"/>
  <c r="L7" i="13"/>
  <c r="F21" i="13"/>
  <c r="M21" i="13" s="1"/>
  <c r="B21" i="13"/>
  <c r="K21" i="13" s="1"/>
  <c r="G19" i="13"/>
  <c r="Q7" i="13"/>
  <c r="C23" i="13"/>
  <c r="F17" i="13"/>
  <c r="M17" i="13" s="1"/>
  <c r="F9" i="13"/>
  <c r="F22" i="13"/>
  <c r="M22" i="13" s="1"/>
  <c r="O8" i="13"/>
  <c r="L3" i="13"/>
  <c r="Q4" i="13"/>
  <c r="H18" i="13"/>
  <c r="Q18" i="13" s="1"/>
  <c r="H3" i="13"/>
  <c r="Q8" i="13"/>
  <c r="H9" i="13"/>
  <c r="H22" i="13"/>
  <c r="Q22" i="13" s="1"/>
  <c r="K8" i="13"/>
  <c r="B9" i="13"/>
  <c r="B22" i="13"/>
  <c r="K22" i="13" s="1"/>
  <c r="E17" i="13"/>
  <c r="N17" i="13" s="1"/>
  <c r="M8" i="13"/>
  <c r="D22" i="13"/>
  <c r="L22" i="13" s="1"/>
  <c r="D9" i="13"/>
  <c r="P4" i="13"/>
  <c r="G3" i="13"/>
  <c r="G18" i="13"/>
  <c r="E8" i="13"/>
  <c r="D4" i="13"/>
  <c r="F10" i="12"/>
  <c r="F11" i="12" s="1"/>
  <c r="F23" i="12"/>
  <c r="M23" i="12" s="1"/>
  <c r="O9" i="12"/>
  <c r="H10" i="12"/>
  <c r="H11" i="12" s="1"/>
  <c r="H23" i="12"/>
  <c r="Q23" i="12" s="1"/>
  <c r="Q9" i="12"/>
  <c r="H20" i="12"/>
  <c r="Q20" i="12" s="1"/>
  <c r="Q6" i="12"/>
  <c r="G22" i="12"/>
  <c r="K8" i="12"/>
  <c r="B9" i="12"/>
  <c r="D23" i="12"/>
  <c r="L23" i="12" s="1"/>
  <c r="D10" i="12"/>
  <c r="O6" i="12"/>
  <c r="P8" i="12"/>
  <c r="E10" i="12"/>
  <c r="E23" i="12"/>
  <c r="N23" i="12" s="1"/>
  <c r="N9" i="12"/>
  <c r="B4" i="12"/>
  <c r="K5" i="12"/>
  <c r="B19" i="12"/>
  <c r="K19" i="12" s="1"/>
  <c r="C4" i="12"/>
  <c r="C19" i="12"/>
  <c r="L5" i="12"/>
  <c r="G23" i="12"/>
  <c r="G10" i="12"/>
  <c r="P9" i="12"/>
  <c r="Q5" i="12"/>
  <c r="H4" i="12"/>
  <c r="H19" i="12"/>
  <c r="Q19" i="12" s="1"/>
  <c r="F24" i="12"/>
  <c r="M24" i="12" s="1"/>
  <c r="O10" i="12"/>
  <c r="F4" i="12"/>
  <c r="O5" i="12"/>
  <c r="F19" i="12"/>
  <c r="M19" i="12" s="1"/>
  <c r="D4" i="12"/>
  <c r="M5" i="12"/>
  <c r="D19" i="12"/>
  <c r="L19" i="12" s="1"/>
  <c r="H24" i="12"/>
  <c r="Q24" i="12" s="1"/>
  <c r="Q10" i="12"/>
  <c r="C23" i="12"/>
  <c r="C10" i="12"/>
  <c r="L9" i="12"/>
  <c r="N5" i="12"/>
  <c r="E4" i="12"/>
  <c r="E19" i="12"/>
  <c r="N19" i="12" s="1"/>
  <c r="P5" i="12"/>
  <c r="G4" i="12"/>
  <c r="G19" i="12"/>
  <c r="E20" i="12"/>
  <c r="N20" i="12" s="1"/>
  <c r="F20" i="12"/>
  <c r="M20" i="12" s="1"/>
  <c r="E10" i="9"/>
  <c r="E11" i="9" s="1"/>
  <c r="N11" i="9" s="1"/>
  <c r="Q6" i="9"/>
  <c r="M10" i="9"/>
  <c r="D24" i="9"/>
  <c r="L24" i="9" s="1"/>
  <c r="H20" i="9"/>
  <c r="Q20" i="9" s="1"/>
  <c r="E12" i="9"/>
  <c r="E25" i="9"/>
  <c r="N25" i="9" s="1"/>
  <c r="F4" i="9"/>
  <c r="F3" i="9" s="1"/>
  <c r="F19" i="9"/>
  <c r="M19" i="9" s="1"/>
  <c r="O5" i="9"/>
  <c r="G10" i="9"/>
  <c r="P10" i="9" s="1"/>
  <c r="G23" i="9"/>
  <c r="P9" i="9"/>
  <c r="N9" i="9"/>
  <c r="F20" i="9"/>
  <c r="M20" i="9" s="1"/>
  <c r="H22" i="9"/>
  <c r="Q22" i="9" s="1"/>
  <c r="O6" i="9"/>
  <c r="N10" i="9"/>
  <c r="H9" i="9"/>
  <c r="M6" i="9"/>
  <c r="L8" i="9"/>
  <c r="C22" i="9"/>
  <c r="D20" i="9"/>
  <c r="L20" i="9" s="1"/>
  <c r="O4" i="9"/>
  <c r="F18" i="9"/>
  <c r="M18" i="9" s="1"/>
  <c r="B19" i="9"/>
  <c r="K19" i="9" s="1"/>
  <c r="B4" i="9"/>
  <c r="K5" i="9"/>
  <c r="G19" i="9"/>
  <c r="G4" i="9"/>
  <c r="P5" i="9"/>
  <c r="F10" i="9"/>
  <c r="F23" i="9"/>
  <c r="M23" i="9" s="1"/>
  <c r="O9" i="9"/>
  <c r="H4" i="9"/>
  <c r="H19" i="9"/>
  <c r="Q19" i="9" s="1"/>
  <c r="Q5" i="9"/>
  <c r="C10" i="9"/>
  <c r="C23" i="9"/>
  <c r="L9" i="9"/>
  <c r="D19" i="9"/>
  <c r="L19" i="9" s="1"/>
  <c r="M5" i="9"/>
  <c r="D4" i="9"/>
  <c r="D12" i="9"/>
  <c r="D25" i="9"/>
  <c r="L25" i="9" s="1"/>
  <c r="M11" i="9"/>
  <c r="B10" i="9"/>
  <c r="B23" i="9"/>
  <c r="K23" i="9" s="1"/>
  <c r="K9" i="9"/>
  <c r="E4" i="9"/>
  <c r="N5" i="9"/>
  <c r="E19" i="9"/>
  <c r="N19" i="9" s="1"/>
  <c r="C4" i="9"/>
  <c r="L5" i="9"/>
  <c r="C19" i="9"/>
  <c r="C4" i="8"/>
  <c r="L4" i="8" s="1"/>
  <c r="C19" i="8"/>
  <c r="L5" i="8"/>
  <c r="B19" i="8"/>
  <c r="K19" i="8" s="1"/>
  <c r="Q5" i="8"/>
  <c r="G20" i="8"/>
  <c r="G22" i="8"/>
  <c r="P8" i="8"/>
  <c r="F22" i="8"/>
  <c r="M22" i="8" s="1"/>
  <c r="G4" i="8"/>
  <c r="G18" i="8" s="1"/>
  <c r="G19" i="8"/>
  <c r="P5" i="8"/>
  <c r="B3" i="8"/>
  <c r="K3" i="8" s="1"/>
  <c r="K4" i="8"/>
  <c r="B18" i="8"/>
  <c r="K18" i="8" s="1"/>
  <c r="B17" i="8"/>
  <c r="K17" i="8" s="1"/>
  <c r="M4" i="8"/>
  <c r="D3" i="8"/>
  <c r="D18" i="8"/>
  <c r="L18" i="8" s="1"/>
  <c r="M9" i="8"/>
  <c r="D23" i="8"/>
  <c r="L23" i="8" s="1"/>
  <c r="D10" i="8"/>
  <c r="C23" i="8"/>
  <c r="C10" i="8"/>
  <c r="L9" i="8"/>
  <c r="E10" i="8"/>
  <c r="N9" i="8"/>
  <c r="E23" i="8"/>
  <c r="N23" i="8" s="1"/>
  <c r="G10" i="8"/>
  <c r="P9" i="8"/>
  <c r="G23" i="8"/>
  <c r="P4" i="8"/>
  <c r="F23" i="8"/>
  <c r="M23" i="8" s="1"/>
  <c r="F10" i="8"/>
  <c r="O9" i="8"/>
  <c r="C3" i="8"/>
  <c r="C18" i="8"/>
  <c r="H3" i="8"/>
  <c r="H18" i="8"/>
  <c r="Q18" i="8" s="1"/>
  <c r="Q4" i="8"/>
  <c r="N5" i="8"/>
  <c r="E4" i="8"/>
  <c r="E19" i="8"/>
  <c r="N19" i="8" s="1"/>
  <c r="K9" i="8"/>
  <c r="B10" i="8"/>
  <c r="B23" i="8"/>
  <c r="K23" i="8" s="1"/>
  <c r="H10" i="8"/>
  <c r="H23" i="8"/>
  <c r="Q23" i="8" s="1"/>
  <c r="Q9" i="8"/>
  <c r="C4" i="7"/>
  <c r="C18" i="7" s="1"/>
  <c r="L5" i="7"/>
  <c r="G5" i="7"/>
  <c r="G20" i="7"/>
  <c r="C9" i="7"/>
  <c r="D4" i="7"/>
  <c r="M4" i="7" s="1"/>
  <c r="D19" i="7"/>
  <c r="L19" i="7" s="1"/>
  <c r="M5" i="7"/>
  <c r="B4" i="7"/>
  <c r="B3" i="7" s="1"/>
  <c r="B19" i="7"/>
  <c r="K19" i="7" s="1"/>
  <c r="K5" i="7"/>
  <c r="F4" i="7"/>
  <c r="F18" i="7" s="1"/>
  <c r="M18" i="7" s="1"/>
  <c r="O5" i="7"/>
  <c r="F19" i="7"/>
  <c r="M19" i="7" s="1"/>
  <c r="B9" i="7"/>
  <c r="O10" i="7"/>
  <c r="Q8" i="7"/>
  <c r="K6" i="7"/>
  <c r="M6" i="7"/>
  <c r="H9" i="7"/>
  <c r="D9" i="7"/>
  <c r="B20" i="7"/>
  <c r="K20" i="7" s="1"/>
  <c r="C19" i="7"/>
  <c r="O6" i="7"/>
  <c r="E9" i="7"/>
  <c r="F20" i="7"/>
  <c r="M20" i="7" s="1"/>
  <c r="N5" i="7"/>
  <c r="K8" i="7"/>
  <c r="Q6" i="7"/>
  <c r="F11" i="7"/>
  <c r="G9" i="7"/>
  <c r="P9" i="7" s="1"/>
  <c r="Q5" i="7"/>
  <c r="H4" i="7"/>
  <c r="H19" i="7"/>
  <c r="Q19" i="7" s="1"/>
  <c r="O22" i="7"/>
  <c r="P22" i="7"/>
  <c r="E3" i="7"/>
  <c r="E18" i="7"/>
  <c r="N18" i="7" s="1"/>
  <c r="N4" i="7"/>
  <c r="L4" i="7"/>
  <c r="C3" i="7"/>
  <c r="O4" i="7"/>
  <c r="F3" i="7"/>
  <c r="B18" i="7"/>
  <c r="K18" i="7" s="1"/>
  <c r="K4" i="7"/>
  <c r="P8" i="7"/>
  <c r="M8" i="7"/>
  <c r="H20" i="7"/>
  <c r="Q20" i="7" s="1"/>
  <c r="E19" i="7"/>
  <c r="N19" i="7" s="1"/>
  <c r="C3" i="10"/>
  <c r="L3" i="10" s="1"/>
  <c r="L4" i="10"/>
  <c r="N8" i="10"/>
  <c r="E9" i="10"/>
  <c r="E22" i="10"/>
  <c r="N22" i="10" s="1"/>
  <c r="F21" i="10"/>
  <c r="M21" i="10" s="1"/>
  <c r="B25" i="10"/>
  <c r="K25" i="10" s="1"/>
  <c r="B12" i="10"/>
  <c r="K11" i="10"/>
  <c r="G3" i="10"/>
  <c r="G18" i="10"/>
  <c r="P4" i="10"/>
  <c r="C9" i="10"/>
  <c r="L8" i="10"/>
  <c r="C22" i="10"/>
  <c r="P9" i="10"/>
  <c r="G10" i="10"/>
  <c r="G23" i="10"/>
  <c r="M4" i="10"/>
  <c r="D18" i="10"/>
  <c r="L18" i="10" s="1"/>
  <c r="D3" i="10"/>
  <c r="C17" i="10"/>
  <c r="K9" i="10"/>
  <c r="P8" i="10"/>
  <c r="M7" i="10"/>
  <c r="K4" i="10"/>
  <c r="P5" i="10"/>
  <c r="C18" i="10"/>
  <c r="F18" i="10"/>
  <c r="M18" i="10" s="1"/>
  <c r="O19" i="10"/>
  <c r="F8" i="10"/>
  <c r="D8" i="10"/>
  <c r="H3" i="10"/>
  <c r="E4" i="10"/>
  <c r="F3" i="10"/>
  <c r="B3" i="10"/>
  <c r="K10" i="10"/>
  <c r="H18" i="10"/>
  <c r="Q18" i="10" s="1"/>
  <c r="L7" i="10"/>
  <c r="D19" i="10"/>
  <c r="L19" i="10" s="1"/>
  <c r="G12" i="5"/>
  <c r="O11" i="5"/>
  <c r="C13" i="5"/>
  <c r="K13" i="5" s="1"/>
  <c r="K12" i="5"/>
  <c r="B12" i="5"/>
  <c r="J11" i="5"/>
  <c r="F12" i="5"/>
  <c r="N11" i="5"/>
  <c r="M11" i="5"/>
  <c r="E12" i="5"/>
  <c r="D11" i="5"/>
  <c r="F11" i="28"/>
  <c r="F25" i="28" s="1"/>
  <c r="M24" i="28"/>
  <c r="H4" i="28"/>
  <c r="H18" i="28" s="1"/>
  <c r="N10" i="28"/>
  <c r="Q11" i="28"/>
  <c r="O22" i="28"/>
  <c r="Q25" i="28"/>
  <c r="O10" i="28"/>
  <c r="G11" i="28"/>
  <c r="G25" i="28" s="1"/>
  <c r="K19" i="28"/>
  <c r="K5" i="28"/>
  <c r="B4" i="28"/>
  <c r="B18" i="28" s="1"/>
  <c r="Q19" i="28"/>
  <c r="Q5" i="28"/>
  <c r="N25" i="28"/>
  <c r="M18" i="28"/>
  <c r="O4" i="28"/>
  <c r="P5" i="28"/>
  <c r="P20" i="28"/>
  <c r="O20" i="28"/>
  <c r="N4" i="28"/>
  <c r="L5" i="28"/>
  <c r="L10" i="28"/>
  <c r="M10" i="28"/>
  <c r="L24" i="28"/>
  <c r="P9" i="28"/>
  <c r="K9" i="28"/>
  <c r="H12" i="18"/>
  <c r="Q11" i="18"/>
  <c r="H25" i="18"/>
  <c r="Q25" i="18" s="1"/>
  <c r="H24" i="18"/>
  <c r="Q24" i="18" s="1"/>
  <c r="H3" i="18"/>
  <c r="Q4" i="18"/>
  <c r="Q10" i="18"/>
  <c r="G22" i="18"/>
  <c r="P8" i="18"/>
  <c r="G9" i="18"/>
  <c r="P4" i="18"/>
  <c r="G18" i="18"/>
  <c r="G3" i="18"/>
  <c r="P7" i="18"/>
  <c r="G21" i="18"/>
  <c r="F13" i="18"/>
  <c r="O13" i="18" s="1"/>
  <c r="F25" i="18"/>
  <c r="M25" i="18" s="1"/>
  <c r="O3" i="18"/>
  <c r="E17" i="18"/>
  <c r="N17" i="18" s="1"/>
  <c r="N12" i="18"/>
  <c r="E25" i="18"/>
  <c r="N25" i="18" s="1"/>
  <c r="D24" i="18"/>
  <c r="L24" i="18" s="1"/>
  <c r="D11" i="18"/>
  <c r="M10" i="18"/>
  <c r="D23" i="18"/>
  <c r="L23" i="18" s="1"/>
  <c r="M9" i="18"/>
  <c r="C9" i="18"/>
  <c r="C4" i="18"/>
  <c r="C19" i="18"/>
  <c r="C22" i="18"/>
  <c r="P24" i="21" l="1"/>
  <c r="O24" i="21"/>
  <c r="D11" i="21"/>
  <c r="M10" i="21"/>
  <c r="C19" i="21"/>
  <c r="L5" i="21"/>
  <c r="K25" i="21"/>
  <c r="B26" i="21"/>
  <c r="K5" i="21"/>
  <c r="B19" i="21"/>
  <c r="K19" i="21" s="1"/>
  <c r="L11" i="21"/>
  <c r="C12" i="21"/>
  <c r="D26" i="21"/>
  <c r="L25" i="21"/>
  <c r="P5" i="21"/>
  <c r="G19" i="21"/>
  <c r="F25" i="21"/>
  <c r="M24" i="21"/>
  <c r="E12" i="21"/>
  <c r="N11" i="21"/>
  <c r="E20" i="21"/>
  <c r="N20" i="21" s="1"/>
  <c r="E5" i="21"/>
  <c r="N6" i="21"/>
  <c r="N24" i="21"/>
  <c r="E25" i="21"/>
  <c r="P20" i="21"/>
  <c r="O20" i="21"/>
  <c r="B12" i="21"/>
  <c r="K11" i="21"/>
  <c r="O11" i="21"/>
  <c r="F12" i="21"/>
  <c r="P25" i="21"/>
  <c r="G26" i="21"/>
  <c r="O25" i="21"/>
  <c r="H25" i="21"/>
  <c r="Q24" i="21"/>
  <c r="P12" i="21"/>
  <c r="G13" i="21"/>
  <c r="H12" i="21"/>
  <c r="Q11" i="21"/>
  <c r="D12" i="28"/>
  <c r="D26" i="28" s="1"/>
  <c r="B11" i="28"/>
  <c r="B24" i="28"/>
  <c r="E18" i="28"/>
  <c r="N18" i="28" s="1"/>
  <c r="M4" i="28"/>
  <c r="D15" i="3"/>
  <c r="M15" i="3" s="1"/>
  <c r="M14" i="3"/>
  <c r="O20" i="3"/>
  <c r="P20" i="3"/>
  <c r="C19" i="3"/>
  <c r="L5" i="3"/>
  <c r="O25" i="3"/>
  <c r="P25" i="3"/>
  <c r="B13" i="3"/>
  <c r="B26" i="3"/>
  <c r="K26" i="3" s="1"/>
  <c r="K12" i="3"/>
  <c r="G19" i="3"/>
  <c r="P5" i="3"/>
  <c r="G13" i="3"/>
  <c r="G26" i="3"/>
  <c r="P12" i="3"/>
  <c r="C13" i="3"/>
  <c r="C26" i="3"/>
  <c r="L12" i="3"/>
  <c r="F13" i="3"/>
  <c r="F26" i="3"/>
  <c r="M26" i="3" s="1"/>
  <c r="O12" i="3"/>
  <c r="F19" i="3"/>
  <c r="M19" i="3" s="1"/>
  <c r="O5" i="3"/>
  <c r="E13" i="3"/>
  <c r="E26" i="3"/>
  <c r="N26" i="3" s="1"/>
  <c r="N12" i="3"/>
  <c r="C12" i="26"/>
  <c r="L11" i="26"/>
  <c r="B14" i="26"/>
  <c r="K13" i="26"/>
  <c r="G12" i="26"/>
  <c r="P11" i="26"/>
  <c r="O11" i="26"/>
  <c r="F12" i="26"/>
  <c r="D20" i="26"/>
  <c r="L20" i="26" s="1"/>
  <c r="D5" i="26"/>
  <c r="M6" i="26"/>
  <c r="B26" i="26"/>
  <c r="K25" i="26"/>
  <c r="Q13" i="26"/>
  <c r="H14" i="26"/>
  <c r="O25" i="26"/>
  <c r="P25" i="26"/>
  <c r="G26" i="26"/>
  <c r="F5" i="26"/>
  <c r="O6" i="26"/>
  <c r="F20" i="26"/>
  <c r="M20" i="26" s="1"/>
  <c r="N24" i="26"/>
  <c r="E25" i="26"/>
  <c r="H19" i="26"/>
  <c r="Q19" i="26" s="1"/>
  <c r="Q5" i="26"/>
  <c r="M24" i="26"/>
  <c r="F25" i="26"/>
  <c r="N11" i="26"/>
  <c r="E12" i="26"/>
  <c r="D13" i="26"/>
  <c r="M12" i="26"/>
  <c r="B5" i="24"/>
  <c r="B20" i="24"/>
  <c r="K20" i="24" s="1"/>
  <c r="N24" i="24"/>
  <c r="P14" i="24"/>
  <c r="G15" i="24"/>
  <c r="P15" i="24" s="1"/>
  <c r="D13" i="24"/>
  <c r="M12" i="24"/>
  <c r="G25" i="24"/>
  <c r="O24" i="24"/>
  <c r="P24" i="24"/>
  <c r="C5" i="24"/>
  <c r="L6" i="24"/>
  <c r="C20" i="24"/>
  <c r="L24" i="24"/>
  <c r="D25" i="24"/>
  <c r="C12" i="24"/>
  <c r="L11" i="24"/>
  <c r="E19" i="24"/>
  <c r="N19" i="24" s="1"/>
  <c r="N5" i="24"/>
  <c r="K11" i="24"/>
  <c r="B12" i="24"/>
  <c r="F19" i="24"/>
  <c r="M19" i="24" s="1"/>
  <c r="O5" i="24"/>
  <c r="E26" i="24"/>
  <c r="N25" i="24"/>
  <c r="H12" i="24"/>
  <c r="Q11" i="24"/>
  <c r="O11" i="24"/>
  <c r="F12" i="24"/>
  <c r="Q24" i="24"/>
  <c r="H25" i="24"/>
  <c r="Q5" i="24"/>
  <c r="H19" i="24"/>
  <c r="Q19" i="24" s="1"/>
  <c r="M24" i="24"/>
  <c r="F25" i="24"/>
  <c r="E11" i="24"/>
  <c r="N10" i="24"/>
  <c r="K26" i="24"/>
  <c r="B27" i="24"/>
  <c r="K27" i="24" s="1"/>
  <c r="P19" i="24"/>
  <c r="O19" i="24"/>
  <c r="Q10" i="25"/>
  <c r="H11" i="25"/>
  <c r="B5" i="25"/>
  <c r="B20" i="25"/>
  <c r="K20" i="25" s="1"/>
  <c r="P23" i="25"/>
  <c r="G24" i="25"/>
  <c r="O23" i="25"/>
  <c r="O13" i="25"/>
  <c r="F14" i="25"/>
  <c r="D19" i="25"/>
  <c r="L19" i="25" s="1"/>
  <c r="M5" i="25"/>
  <c r="E19" i="25"/>
  <c r="N19" i="25" s="1"/>
  <c r="N5" i="25"/>
  <c r="M12" i="25"/>
  <c r="D13" i="25"/>
  <c r="P10" i="25"/>
  <c r="G11" i="25"/>
  <c r="P19" i="25"/>
  <c r="O19" i="25"/>
  <c r="B12" i="25"/>
  <c r="K11" i="25"/>
  <c r="K25" i="25"/>
  <c r="B26" i="25"/>
  <c r="Q24" i="25"/>
  <c r="H25" i="25"/>
  <c r="E13" i="25"/>
  <c r="N12" i="25"/>
  <c r="D25" i="25"/>
  <c r="L24" i="25"/>
  <c r="F25" i="25"/>
  <c r="M24" i="25"/>
  <c r="N25" i="25"/>
  <c r="E26" i="25"/>
  <c r="C12" i="25"/>
  <c r="L11" i="25"/>
  <c r="B25" i="23"/>
  <c r="K24" i="23"/>
  <c r="G27" i="23"/>
  <c r="O26" i="23"/>
  <c r="P26" i="23"/>
  <c r="L14" i="23"/>
  <c r="C15" i="23"/>
  <c r="L15" i="23" s="1"/>
  <c r="G11" i="23"/>
  <c r="G12" i="23" s="1"/>
  <c r="O6" i="23"/>
  <c r="F5" i="23"/>
  <c r="F20" i="23"/>
  <c r="M20" i="23" s="1"/>
  <c r="L5" i="23"/>
  <c r="C19" i="23"/>
  <c r="H11" i="23"/>
  <c r="Q10" i="23"/>
  <c r="M5" i="23"/>
  <c r="D19" i="23"/>
  <c r="L19" i="23" s="1"/>
  <c r="P11" i="23"/>
  <c r="G19" i="23"/>
  <c r="P5" i="23"/>
  <c r="B12" i="23"/>
  <c r="K11" i="23"/>
  <c r="D12" i="23"/>
  <c r="M11" i="23"/>
  <c r="Q5" i="23"/>
  <c r="H19" i="23"/>
  <c r="Q19" i="23" s="1"/>
  <c r="Q24" i="23"/>
  <c r="H25" i="23"/>
  <c r="O20" i="23"/>
  <c r="P20" i="23"/>
  <c r="F12" i="23"/>
  <c r="O11" i="23"/>
  <c r="E19" i="23"/>
  <c r="N19" i="23" s="1"/>
  <c r="N5" i="23"/>
  <c r="O20" i="22"/>
  <c r="P20" i="22"/>
  <c r="C12" i="22"/>
  <c r="L11" i="22"/>
  <c r="E12" i="22"/>
  <c r="N11" i="22"/>
  <c r="K13" i="22"/>
  <c r="B14" i="22"/>
  <c r="N24" i="22"/>
  <c r="E25" i="22"/>
  <c r="M26" i="22"/>
  <c r="F27" i="22"/>
  <c r="M27" i="22" s="1"/>
  <c r="C20" i="22"/>
  <c r="L6" i="22"/>
  <c r="C5" i="22"/>
  <c r="P19" i="22"/>
  <c r="O19" i="22"/>
  <c r="F10" i="20"/>
  <c r="F11" i="20" s="1"/>
  <c r="F23" i="20"/>
  <c r="M23" i="20" s="1"/>
  <c r="P21" i="20"/>
  <c r="O21" i="20"/>
  <c r="E17" i="20"/>
  <c r="N17" i="20" s="1"/>
  <c r="N3" i="20"/>
  <c r="D9" i="20"/>
  <c r="D22" i="20"/>
  <c r="L22" i="20" s="1"/>
  <c r="M3" i="20"/>
  <c r="D17" i="20"/>
  <c r="L17" i="20" s="1"/>
  <c r="L8" i="20"/>
  <c r="C9" i="20"/>
  <c r="C22" i="20"/>
  <c r="Q3" i="20"/>
  <c r="H17" i="20"/>
  <c r="Q17" i="20" s="1"/>
  <c r="B11" i="20"/>
  <c r="K10" i="20"/>
  <c r="B24" i="20"/>
  <c r="K24" i="20" s="1"/>
  <c r="G23" i="20"/>
  <c r="G10" i="20"/>
  <c r="P9" i="20"/>
  <c r="E9" i="20"/>
  <c r="N8" i="20"/>
  <c r="E22" i="20"/>
  <c r="N22" i="20" s="1"/>
  <c r="C17" i="20"/>
  <c r="L3" i="20"/>
  <c r="O3" i="20"/>
  <c r="F17" i="20"/>
  <c r="M17" i="20" s="1"/>
  <c r="H11" i="20"/>
  <c r="Q10" i="20"/>
  <c r="H24" i="20"/>
  <c r="Q24" i="20" s="1"/>
  <c r="F24" i="20"/>
  <c r="M24" i="20" s="1"/>
  <c r="E3" i="19"/>
  <c r="E18" i="19"/>
  <c r="N18" i="19" s="1"/>
  <c r="N4" i="19"/>
  <c r="E23" i="19"/>
  <c r="N23" i="19" s="1"/>
  <c r="E10" i="19"/>
  <c r="N9" i="19"/>
  <c r="B17" i="19"/>
  <c r="K17" i="19" s="1"/>
  <c r="K3" i="19"/>
  <c r="M10" i="19"/>
  <c r="D24" i="19"/>
  <c r="L24" i="19" s="1"/>
  <c r="D11" i="19"/>
  <c r="C17" i="19"/>
  <c r="L3" i="19"/>
  <c r="P18" i="19"/>
  <c r="O18" i="19"/>
  <c r="G17" i="19"/>
  <c r="P3" i="19"/>
  <c r="D18" i="18"/>
  <c r="L18" i="18" s="1"/>
  <c r="M4" i="18"/>
  <c r="D3" i="18"/>
  <c r="O3" i="15"/>
  <c r="F17" i="15"/>
  <c r="M17" i="15" s="1"/>
  <c r="E17" i="15"/>
  <c r="N17" i="15" s="1"/>
  <c r="N3" i="15"/>
  <c r="E25" i="15"/>
  <c r="N25" i="15" s="1"/>
  <c r="E12" i="15"/>
  <c r="N11" i="15"/>
  <c r="D11" i="15"/>
  <c r="M10" i="15"/>
  <c r="D24" i="15"/>
  <c r="L24" i="15" s="1"/>
  <c r="M3" i="15"/>
  <c r="D17" i="15"/>
  <c r="L17" i="15" s="1"/>
  <c r="B17" i="16"/>
  <c r="K17" i="16" s="1"/>
  <c r="K3" i="16"/>
  <c r="Q3" i="16"/>
  <c r="H17" i="16"/>
  <c r="Q17" i="16" s="1"/>
  <c r="O3" i="16"/>
  <c r="F17" i="16"/>
  <c r="M17" i="16" s="1"/>
  <c r="L3" i="16"/>
  <c r="C17" i="16"/>
  <c r="C9" i="14"/>
  <c r="C22" i="14"/>
  <c r="L8" i="14"/>
  <c r="C17" i="14"/>
  <c r="Q9" i="14"/>
  <c r="H23" i="14"/>
  <c r="Q23" i="14" s="1"/>
  <c r="H10" i="14"/>
  <c r="O19" i="14"/>
  <c r="P19" i="14"/>
  <c r="D22" i="14"/>
  <c r="L22" i="14" s="1"/>
  <c r="D9" i="14"/>
  <c r="M8" i="14"/>
  <c r="N9" i="14"/>
  <c r="E23" i="14"/>
  <c r="N23" i="14" s="1"/>
  <c r="E10" i="14"/>
  <c r="F17" i="14"/>
  <c r="M17" i="14" s="1"/>
  <c r="O3" i="14"/>
  <c r="B17" i="14"/>
  <c r="K17" i="14" s="1"/>
  <c r="K3" i="14"/>
  <c r="F9" i="14"/>
  <c r="O8" i="14"/>
  <c r="F22" i="14"/>
  <c r="M22" i="14" s="1"/>
  <c r="B11" i="14"/>
  <c r="K10" i="14"/>
  <c r="B24" i="14"/>
  <c r="K24" i="14" s="1"/>
  <c r="Q3" i="14"/>
  <c r="H17" i="14"/>
  <c r="Q17" i="14" s="1"/>
  <c r="P22" i="14"/>
  <c r="O22" i="14"/>
  <c r="E3" i="14"/>
  <c r="E18" i="14"/>
  <c r="N18" i="14" s="1"/>
  <c r="N4" i="14"/>
  <c r="D17" i="14"/>
  <c r="L17" i="14" s="1"/>
  <c r="M3" i="14"/>
  <c r="P18" i="14"/>
  <c r="O18" i="14"/>
  <c r="G23" i="14"/>
  <c r="P9" i="14"/>
  <c r="G10" i="14"/>
  <c r="P3" i="14"/>
  <c r="G17" i="14"/>
  <c r="O8" i="17"/>
  <c r="F9" i="17"/>
  <c r="O19" i="17"/>
  <c r="P19" i="17"/>
  <c r="N8" i="17"/>
  <c r="E9" i="17"/>
  <c r="L8" i="17"/>
  <c r="C9" i="17"/>
  <c r="B17" i="17"/>
  <c r="K17" i="17" s="1"/>
  <c r="G10" i="17"/>
  <c r="P10" i="17" s="1"/>
  <c r="M4" i="17"/>
  <c r="D3" i="17"/>
  <c r="Q8" i="17"/>
  <c r="H9" i="17"/>
  <c r="P4" i="17"/>
  <c r="G3" i="17"/>
  <c r="L4" i="17"/>
  <c r="C18" i="17"/>
  <c r="C3" i="17"/>
  <c r="M8" i="17"/>
  <c r="D22" i="17"/>
  <c r="L22" i="17" s="1"/>
  <c r="D9" i="17"/>
  <c r="O4" i="17"/>
  <c r="F3" i="17"/>
  <c r="F18" i="17"/>
  <c r="M18" i="17" s="1"/>
  <c r="Q4" i="17"/>
  <c r="H18" i="17"/>
  <c r="Q18" i="17" s="1"/>
  <c r="H3" i="17"/>
  <c r="O21" i="17"/>
  <c r="P21" i="17"/>
  <c r="P22" i="17"/>
  <c r="O22" i="17"/>
  <c r="P18" i="17"/>
  <c r="O18" i="17"/>
  <c r="N4" i="17"/>
  <c r="E18" i="17"/>
  <c r="N18" i="17" s="1"/>
  <c r="E3" i="17"/>
  <c r="K8" i="17"/>
  <c r="B22" i="17"/>
  <c r="K22" i="17" s="1"/>
  <c r="B9" i="17"/>
  <c r="O23" i="17"/>
  <c r="P23" i="17"/>
  <c r="C10" i="13"/>
  <c r="C24" i="13" s="1"/>
  <c r="G9" i="13"/>
  <c r="P8" i="13"/>
  <c r="G22" i="13"/>
  <c r="K3" i="13"/>
  <c r="O19" i="13"/>
  <c r="P19" i="13"/>
  <c r="E9" i="13"/>
  <c r="N8" i="13"/>
  <c r="E22" i="13"/>
  <c r="N22" i="13" s="1"/>
  <c r="D10" i="13"/>
  <c r="M9" i="13"/>
  <c r="D23" i="13"/>
  <c r="L23" i="13" s="1"/>
  <c r="P18" i="13"/>
  <c r="O18" i="13"/>
  <c r="G17" i="13"/>
  <c r="P3" i="13"/>
  <c r="Q9" i="13"/>
  <c r="H10" i="13"/>
  <c r="H23" i="13"/>
  <c r="Q23" i="13" s="1"/>
  <c r="C11" i="13"/>
  <c r="D18" i="13"/>
  <c r="L18" i="13" s="1"/>
  <c r="M4" i="13"/>
  <c r="D3" i="13"/>
  <c r="B23" i="13"/>
  <c r="K23" i="13" s="1"/>
  <c r="B10" i="13"/>
  <c r="K9" i="13"/>
  <c r="O9" i="13"/>
  <c r="F10" i="13"/>
  <c r="F23" i="13"/>
  <c r="M23" i="13" s="1"/>
  <c r="Q3" i="13"/>
  <c r="H17" i="13"/>
  <c r="Q17" i="13" s="1"/>
  <c r="D11" i="12"/>
  <c r="M10" i="12"/>
  <c r="D24" i="12"/>
  <c r="L24" i="12" s="1"/>
  <c r="O22" i="12"/>
  <c r="P22" i="12"/>
  <c r="B10" i="12"/>
  <c r="K9" i="12"/>
  <c r="B23" i="12"/>
  <c r="K23" i="12" s="1"/>
  <c r="C24" i="12"/>
  <c r="C11" i="12"/>
  <c r="L10" i="12"/>
  <c r="G3" i="12"/>
  <c r="G18" i="12"/>
  <c r="P4" i="12"/>
  <c r="Q4" i="12"/>
  <c r="H18" i="12"/>
  <c r="Q18" i="12" s="1"/>
  <c r="H3" i="12"/>
  <c r="O23" i="12"/>
  <c r="P23" i="12"/>
  <c r="Q11" i="12"/>
  <c r="H25" i="12"/>
  <c r="Q25" i="12" s="1"/>
  <c r="H12" i="12"/>
  <c r="M4" i="12"/>
  <c r="D3" i="12"/>
  <c r="D18" i="12"/>
  <c r="L18" i="12" s="1"/>
  <c r="O11" i="12"/>
  <c r="F12" i="12"/>
  <c r="F25" i="12"/>
  <c r="M25" i="12" s="1"/>
  <c r="B18" i="12"/>
  <c r="K18" i="12" s="1"/>
  <c r="B3" i="12"/>
  <c r="K4" i="12"/>
  <c r="P19" i="12"/>
  <c r="O19" i="12"/>
  <c r="N4" i="12"/>
  <c r="E3" i="12"/>
  <c r="E18" i="12"/>
  <c r="N18" i="12" s="1"/>
  <c r="G24" i="12"/>
  <c r="P10" i="12"/>
  <c r="G11" i="12"/>
  <c r="C3" i="12"/>
  <c r="C18" i="12"/>
  <c r="L4" i="12"/>
  <c r="O4" i="12"/>
  <c r="F3" i="12"/>
  <c r="F18" i="12"/>
  <c r="M18" i="12" s="1"/>
  <c r="N10" i="12"/>
  <c r="E11" i="12"/>
  <c r="E24" i="12"/>
  <c r="N24" i="12" s="1"/>
  <c r="E24" i="9"/>
  <c r="N24" i="9" s="1"/>
  <c r="G24" i="9"/>
  <c r="P23" i="9"/>
  <c r="O23" i="9"/>
  <c r="Q9" i="9"/>
  <c r="H10" i="9"/>
  <c r="H23" i="9"/>
  <c r="Q23" i="9" s="1"/>
  <c r="G11" i="9"/>
  <c r="P11" i="9" s="1"/>
  <c r="N12" i="9"/>
  <c r="E13" i="9"/>
  <c r="K10" i="9"/>
  <c r="B24" i="9"/>
  <c r="K24" i="9" s="1"/>
  <c r="B11" i="9"/>
  <c r="N4" i="9"/>
  <c r="E3" i="9"/>
  <c r="E18" i="9"/>
  <c r="N18" i="9" s="1"/>
  <c r="P24" i="9"/>
  <c r="O24" i="9"/>
  <c r="D18" i="9"/>
  <c r="L18" i="9" s="1"/>
  <c r="D3" i="9"/>
  <c r="M4" i="9"/>
  <c r="Q4" i="9"/>
  <c r="H18" i="9"/>
  <c r="Q18" i="9" s="1"/>
  <c r="H3" i="9"/>
  <c r="B3" i="9"/>
  <c r="K4" i="9"/>
  <c r="B18" i="9"/>
  <c r="K18" i="9" s="1"/>
  <c r="G12" i="9"/>
  <c r="O19" i="9"/>
  <c r="P19" i="9"/>
  <c r="L10" i="9"/>
  <c r="C11" i="9"/>
  <c r="C24" i="9"/>
  <c r="G18" i="9"/>
  <c r="P4" i="9"/>
  <c r="G3" i="9"/>
  <c r="O3" i="9"/>
  <c r="F17" i="9"/>
  <c r="M17" i="9" s="1"/>
  <c r="C18" i="9"/>
  <c r="L4" i="9"/>
  <c r="C3" i="9"/>
  <c r="M12" i="9"/>
  <c r="D13" i="9"/>
  <c r="F11" i="9"/>
  <c r="O10" i="9"/>
  <c r="F24" i="9"/>
  <c r="M24" i="9" s="1"/>
  <c r="O22" i="8"/>
  <c r="P22" i="8"/>
  <c r="P20" i="8"/>
  <c r="O20" i="8"/>
  <c r="G3" i="8"/>
  <c r="O19" i="8"/>
  <c r="P19" i="8"/>
  <c r="E18" i="8"/>
  <c r="N18" i="8" s="1"/>
  <c r="E3" i="8"/>
  <c r="N4" i="8"/>
  <c r="H17" i="8"/>
  <c r="Q17" i="8" s="1"/>
  <c r="Q3" i="8"/>
  <c r="G17" i="8"/>
  <c r="P3" i="8"/>
  <c r="G11" i="8"/>
  <c r="G24" i="8"/>
  <c r="P10" i="8"/>
  <c r="K10" i="8"/>
  <c r="B24" i="8"/>
  <c r="K24" i="8" s="1"/>
  <c r="B11" i="8"/>
  <c r="O10" i="8"/>
  <c r="F11" i="8"/>
  <c r="F24" i="8"/>
  <c r="M24" i="8" s="1"/>
  <c r="P18" i="8"/>
  <c r="O18" i="8"/>
  <c r="C24" i="8"/>
  <c r="C11" i="8"/>
  <c r="L10" i="8"/>
  <c r="O23" i="8"/>
  <c r="P23" i="8"/>
  <c r="H24" i="8"/>
  <c r="Q24" i="8" s="1"/>
  <c r="H11" i="8"/>
  <c r="Q10" i="8"/>
  <c r="C17" i="8"/>
  <c r="L3" i="8"/>
  <c r="N10" i="8"/>
  <c r="E11" i="8"/>
  <c r="E24" i="8"/>
  <c r="N24" i="8" s="1"/>
  <c r="M10" i="8"/>
  <c r="D24" i="8"/>
  <c r="L24" i="8" s="1"/>
  <c r="D11" i="8"/>
  <c r="M3" i="8"/>
  <c r="D17" i="8"/>
  <c r="L17" i="8" s="1"/>
  <c r="G4" i="7"/>
  <c r="P5" i="7"/>
  <c r="D18" i="7"/>
  <c r="L18" i="7" s="1"/>
  <c r="G19" i="7"/>
  <c r="C10" i="7"/>
  <c r="L9" i="7"/>
  <c r="C23" i="7"/>
  <c r="P20" i="7"/>
  <c r="O20" i="7"/>
  <c r="F12" i="7"/>
  <c r="F25" i="7"/>
  <c r="M25" i="7" s="1"/>
  <c r="O11" i="7"/>
  <c r="D3" i="7"/>
  <c r="D17" i="7" s="1"/>
  <c r="L17" i="7" s="1"/>
  <c r="O19" i="7"/>
  <c r="P19" i="7"/>
  <c r="E23" i="7"/>
  <c r="N23" i="7" s="1"/>
  <c r="N9" i="7"/>
  <c r="E10" i="7"/>
  <c r="D23" i="7"/>
  <c r="L23" i="7" s="1"/>
  <c r="D10" i="7"/>
  <c r="M9" i="7"/>
  <c r="H23" i="7"/>
  <c r="Q23" i="7" s="1"/>
  <c r="H10" i="7"/>
  <c r="Q9" i="7"/>
  <c r="G23" i="7"/>
  <c r="G10" i="7"/>
  <c r="B23" i="7"/>
  <c r="K23" i="7" s="1"/>
  <c r="B10" i="7"/>
  <c r="K9" i="7"/>
  <c r="O3" i="7"/>
  <c r="F17" i="7"/>
  <c r="M17" i="7" s="1"/>
  <c r="Q4" i="7"/>
  <c r="H3" i="7"/>
  <c r="H18" i="7"/>
  <c r="Q18" i="7" s="1"/>
  <c r="N3" i="7"/>
  <c r="E17" i="7"/>
  <c r="N17" i="7" s="1"/>
  <c r="M3" i="7"/>
  <c r="B17" i="7"/>
  <c r="K17" i="7" s="1"/>
  <c r="K3" i="7"/>
  <c r="C17" i="7"/>
  <c r="L3" i="7"/>
  <c r="E10" i="10"/>
  <c r="E23" i="10"/>
  <c r="N23" i="10" s="1"/>
  <c r="N9" i="10"/>
  <c r="F9" i="10"/>
  <c r="O8" i="10"/>
  <c r="F22" i="10"/>
  <c r="M22" i="10" s="1"/>
  <c r="K12" i="10"/>
  <c r="B13" i="10"/>
  <c r="E3" i="10"/>
  <c r="E18" i="10"/>
  <c r="N18" i="10" s="1"/>
  <c r="N4" i="10"/>
  <c r="O18" i="10"/>
  <c r="P18" i="10"/>
  <c r="F17" i="10"/>
  <c r="M17" i="10" s="1"/>
  <c r="O3" i="10"/>
  <c r="Q3" i="10"/>
  <c r="H17" i="10"/>
  <c r="Q17" i="10" s="1"/>
  <c r="P23" i="10"/>
  <c r="O23" i="10"/>
  <c r="G17" i="10"/>
  <c r="P3" i="10"/>
  <c r="K3" i="10"/>
  <c r="B17" i="10"/>
  <c r="K17" i="10" s="1"/>
  <c r="D9" i="10"/>
  <c r="M8" i="10"/>
  <c r="D22" i="10"/>
  <c r="L22" i="10" s="1"/>
  <c r="M3" i="10"/>
  <c r="D17" i="10"/>
  <c r="L17" i="10" s="1"/>
  <c r="G11" i="10"/>
  <c r="P10" i="10"/>
  <c r="G24" i="10"/>
  <c r="L9" i="10"/>
  <c r="C23" i="10"/>
  <c r="C10" i="10"/>
  <c r="G13" i="5"/>
  <c r="O13" i="5" s="1"/>
  <c r="O12" i="5"/>
  <c r="B13" i="5"/>
  <c r="J13" i="5" s="1"/>
  <c r="J12" i="5"/>
  <c r="L11" i="5"/>
  <c r="D12" i="5"/>
  <c r="F13" i="5"/>
  <c r="N13" i="5" s="1"/>
  <c r="N12" i="5"/>
  <c r="E13" i="5"/>
  <c r="M13" i="5" s="1"/>
  <c r="M12" i="5"/>
  <c r="F12" i="28"/>
  <c r="M25" i="28"/>
  <c r="G12" i="28"/>
  <c r="N11" i="28"/>
  <c r="Q26" i="28"/>
  <c r="K4" i="28"/>
  <c r="K18" i="28"/>
  <c r="Q12" i="28"/>
  <c r="O11" i="28"/>
  <c r="P4" i="28"/>
  <c r="P10" i="28"/>
  <c r="P19" i="28"/>
  <c r="O19" i="28"/>
  <c r="L11" i="28"/>
  <c r="L4" i="28"/>
  <c r="P23" i="28"/>
  <c r="O23" i="28"/>
  <c r="N26" i="28"/>
  <c r="Q18" i="28"/>
  <c r="Q4" i="28"/>
  <c r="L25" i="28"/>
  <c r="M11" i="28"/>
  <c r="K24" i="28"/>
  <c r="K10" i="28"/>
  <c r="Q13" i="28"/>
  <c r="Q14" i="28"/>
  <c r="Q3" i="18"/>
  <c r="H17" i="18"/>
  <c r="Q17" i="18" s="1"/>
  <c r="Q12" i="18"/>
  <c r="H13" i="18"/>
  <c r="Q13" i="18" s="1"/>
  <c r="O18" i="18"/>
  <c r="P18" i="18"/>
  <c r="P9" i="18"/>
  <c r="G23" i="18"/>
  <c r="G10" i="18"/>
  <c r="O21" i="18"/>
  <c r="P21" i="18"/>
  <c r="P3" i="18"/>
  <c r="G17" i="18"/>
  <c r="O22" i="18"/>
  <c r="P22" i="18"/>
  <c r="D12" i="18"/>
  <c r="M11" i="18"/>
  <c r="D25" i="18"/>
  <c r="L25" i="18" s="1"/>
  <c r="C18" i="18"/>
  <c r="L4" i="18"/>
  <c r="C3" i="18"/>
  <c r="C23" i="18"/>
  <c r="C10" i="18"/>
  <c r="L9" i="18"/>
  <c r="M11" i="21" l="1"/>
  <c r="D12" i="21"/>
  <c r="B13" i="21"/>
  <c r="K12" i="21"/>
  <c r="E19" i="21"/>
  <c r="N19" i="21" s="1"/>
  <c r="N5" i="21"/>
  <c r="Q12" i="21"/>
  <c r="H13" i="21"/>
  <c r="H26" i="21"/>
  <c r="Q25" i="21"/>
  <c r="F13" i="21"/>
  <c r="O12" i="21"/>
  <c r="N25" i="21"/>
  <c r="E26" i="21"/>
  <c r="F26" i="21"/>
  <c r="M25" i="21"/>
  <c r="D27" i="21"/>
  <c r="L27" i="21" s="1"/>
  <c r="L26" i="21"/>
  <c r="G14" i="21"/>
  <c r="P13" i="21"/>
  <c r="P19" i="21"/>
  <c r="O19" i="21"/>
  <c r="C13" i="21"/>
  <c r="L12" i="21"/>
  <c r="B27" i="21"/>
  <c r="K27" i="21" s="1"/>
  <c r="K26" i="21"/>
  <c r="G27" i="21"/>
  <c r="P26" i="21"/>
  <c r="O26" i="21"/>
  <c r="N12" i="21"/>
  <c r="E13" i="21"/>
  <c r="D13" i="28"/>
  <c r="D14" i="28" s="1"/>
  <c r="N12" i="28"/>
  <c r="F26" i="28"/>
  <c r="M26" i="28" s="1"/>
  <c r="O12" i="28"/>
  <c r="G26" i="28"/>
  <c r="B12" i="28"/>
  <c r="B25" i="28"/>
  <c r="K25" i="28" s="1"/>
  <c r="G14" i="3"/>
  <c r="G27" i="3"/>
  <c r="P13" i="3"/>
  <c r="E14" i="3"/>
  <c r="E27" i="3"/>
  <c r="N27" i="3" s="1"/>
  <c r="N13" i="3"/>
  <c r="C14" i="3"/>
  <c r="C27" i="3"/>
  <c r="L13" i="3"/>
  <c r="B14" i="3"/>
  <c r="B27" i="3"/>
  <c r="K27" i="3" s="1"/>
  <c r="K13" i="3"/>
  <c r="F14" i="3"/>
  <c r="F27" i="3"/>
  <c r="M27" i="3" s="1"/>
  <c r="O13" i="3"/>
  <c r="P19" i="3"/>
  <c r="O19" i="3"/>
  <c r="P26" i="3"/>
  <c r="O26" i="3"/>
  <c r="O12" i="26"/>
  <c r="F13" i="26"/>
  <c r="K14" i="26"/>
  <c r="B15" i="26"/>
  <c r="K15" i="26" s="1"/>
  <c r="P12" i="26"/>
  <c r="G13" i="26"/>
  <c r="C13" i="26"/>
  <c r="L12" i="26"/>
  <c r="K26" i="26"/>
  <c r="B27" i="26"/>
  <c r="K27" i="26" s="1"/>
  <c r="Q14" i="26"/>
  <c r="H15" i="26"/>
  <c r="Q15" i="26" s="1"/>
  <c r="G27" i="26"/>
  <c r="O26" i="26"/>
  <c r="P26" i="26"/>
  <c r="M5" i="26"/>
  <c r="D19" i="26"/>
  <c r="L19" i="26" s="1"/>
  <c r="D14" i="26"/>
  <c r="M13" i="26"/>
  <c r="E13" i="26"/>
  <c r="N12" i="26"/>
  <c r="M25" i="26"/>
  <c r="F26" i="26"/>
  <c r="N25" i="26"/>
  <c r="E26" i="26"/>
  <c r="O5" i="26"/>
  <c r="F19" i="26"/>
  <c r="M19" i="26" s="1"/>
  <c r="B19" i="24"/>
  <c r="K19" i="24" s="1"/>
  <c r="K5" i="24"/>
  <c r="M13" i="24"/>
  <c r="D14" i="24"/>
  <c r="G26" i="24"/>
  <c r="O25" i="24"/>
  <c r="P25" i="24"/>
  <c r="L12" i="24"/>
  <c r="C13" i="24"/>
  <c r="H13" i="24"/>
  <c r="Q12" i="24"/>
  <c r="O12" i="24"/>
  <c r="F13" i="24"/>
  <c r="K12" i="24"/>
  <c r="B13" i="24"/>
  <c r="N11" i="24"/>
  <c r="E12" i="24"/>
  <c r="N26" i="24"/>
  <c r="E27" i="24"/>
  <c r="N27" i="24" s="1"/>
  <c r="M25" i="24"/>
  <c r="F26" i="24"/>
  <c r="Q25" i="24"/>
  <c r="H26" i="24"/>
  <c r="D26" i="24"/>
  <c r="L25" i="24"/>
  <c r="C19" i="24"/>
  <c r="L5" i="24"/>
  <c r="B19" i="25"/>
  <c r="K19" i="25" s="1"/>
  <c r="K5" i="25"/>
  <c r="H12" i="25"/>
  <c r="Q11" i="25"/>
  <c r="P11" i="25"/>
  <c r="G12" i="25"/>
  <c r="B13" i="25"/>
  <c r="K12" i="25"/>
  <c r="O24" i="25"/>
  <c r="G25" i="25"/>
  <c r="P24" i="25"/>
  <c r="K26" i="25"/>
  <c r="B27" i="25"/>
  <c r="K27" i="25" s="1"/>
  <c r="M13" i="25"/>
  <c r="D14" i="25"/>
  <c r="F15" i="25"/>
  <c r="O15" i="25" s="1"/>
  <c r="O14" i="25"/>
  <c r="C13" i="25"/>
  <c r="L12" i="25"/>
  <c r="M25" i="25"/>
  <c r="F26" i="25"/>
  <c r="N13" i="25"/>
  <c r="E14" i="25"/>
  <c r="N26" i="25"/>
  <c r="E27" i="25"/>
  <c r="N27" i="25" s="1"/>
  <c r="Q25" i="25"/>
  <c r="H26" i="25"/>
  <c r="D26" i="25"/>
  <c r="L25" i="25"/>
  <c r="K25" i="23"/>
  <c r="B26" i="23"/>
  <c r="H12" i="23"/>
  <c r="Q11" i="23"/>
  <c r="F19" i="23"/>
  <c r="M19" i="23" s="1"/>
  <c r="O5" i="23"/>
  <c r="P27" i="23"/>
  <c r="O27" i="23"/>
  <c r="F13" i="23"/>
  <c r="O12" i="23"/>
  <c r="P19" i="23"/>
  <c r="O19" i="23"/>
  <c r="H26" i="23"/>
  <c r="Q25" i="23"/>
  <c r="P12" i="23"/>
  <c r="G13" i="23"/>
  <c r="D13" i="23"/>
  <c r="M12" i="23"/>
  <c r="K12" i="23"/>
  <c r="B13" i="23"/>
  <c r="C13" i="22"/>
  <c r="L12" i="22"/>
  <c r="E13" i="22"/>
  <c r="N12" i="22"/>
  <c r="L5" i="22"/>
  <c r="C19" i="22"/>
  <c r="N25" i="22"/>
  <c r="E26" i="22"/>
  <c r="K14" i="22"/>
  <c r="B15" i="22"/>
  <c r="K15" i="22" s="1"/>
  <c r="O10" i="20"/>
  <c r="D23" i="20"/>
  <c r="L23" i="20" s="1"/>
  <c r="D10" i="20"/>
  <c r="M9" i="20"/>
  <c r="P23" i="20"/>
  <c r="O23" i="20"/>
  <c r="F12" i="20"/>
  <c r="O11" i="20"/>
  <c r="F25" i="20"/>
  <c r="M25" i="20" s="1"/>
  <c r="N9" i="20"/>
  <c r="E23" i="20"/>
  <c r="N23" i="20" s="1"/>
  <c r="E10" i="20"/>
  <c r="H25" i="20"/>
  <c r="Q25" i="20" s="1"/>
  <c r="H12" i="20"/>
  <c r="Q11" i="20"/>
  <c r="K11" i="20"/>
  <c r="B25" i="20"/>
  <c r="K25" i="20" s="1"/>
  <c r="B12" i="20"/>
  <c r="C23" i="20"/>
  <c r="C10" i="20"/>
  <c r="L9" i="20"/>
  <c r="G11" i="20"/>
  <c r="P10" i="20"/>
  <c r="G24" i="20"/>
  <c r="E17" i="19"/>
  <c r="N17" i="19" s="1"/>
  <c r="N3" i="19"/>
  <c r="E11" i="19"/>
  <c r="N10" i="19"/>
  <c r="E24" i="19"/>
  <c r="N24" i="19" s="1"/>
  <c r="P17" i="19"/>
  <c r="O17" i="19"/>
  <c r="D12" i="19"/>
  <c r="M11" i="19"/>
  <c r="D25" i="19"/>
  <c r="L25" i="19" s="1"/>
  <c r="M3" i="18"/>
  <c r="D17" i="18"/>
  <c r="L17" i="18" s="1"/>
  <c r="E13" i="15"/>
  <c r="N13" i="15" s="1"/>
  <c r="N12" i="15"/>
  <c r="M11" i="15"/>
  <c r="D12" i="15"/>
  <c r="D25" i="15"/>
  <c r="L25" i="15" s="1"/>
  <c r="C10" i="14"/>
  <c r="L9" i="14"/>
  <c r="C23" i="14"/>
  <c r="H11" i="14"/>
  <c r="Q10" i="14"/>
  <c r="H24" i="14"/>
  <c r="Q24" i="14" s="1"/>
  <c r="O9" i="14"/>
  <c r="F23" i="14"/>
  <c r="M23" i="14" s="1"/>
  <c r="F10" i="14"/>
  <c r="E17" i="14"/>
  <c r="N17" i="14" s="1"/>
  <c r="N3" i="14"/>
  <c r="O17" i="14"/>
  <c r="P17" i="14"/>
  <c r="O23" i="14"/>
  <c r="P23" i="14"/>
  <c r="E11" i="14"/>
  <c r="N10" i="14"/>
  <c r="E24" i="14"/>
  <c r="N24" i="14" s="1"/>
  <c r="D23" i="14"/>
  <c r="L23" i="14" s="1"/>
  <c r="D10" i="14"/>
  <c r="M9" i="14"/>
  <c r="G11" i="14"/>
  <c r="G24" i="14"/>
  <c r="P10" i="14"/>
  <c r="B12" i="14"/>
  <c r="K11" i="14"/>
  <c r="B25" i="14"/>
  <c r="K25" i="14" s="1"/>
  <c r="O9" i="17"/>
  <c r="F10" i="17"/>
  <c r="F23" i="17"/>
  <c r="M23" i="17" s="1"/>
  <c r="G11" i="17"/>
  <c r="G24" i="17"/>
  <c r="O24" i="17" s="1"/>
  <c r="P3" i="17"/>
  <c r="G17" i="17"/>
  <c r="M3" i="17"/>
  <c r="D17" i="17"/>
  <c r="L17" i="17" s="1"/>
  <c r="L9" i="17"/>
  <c r="C10" i="17"/>
  <c r="C23" i="17"/>
  <c r="Q9" i="17"/>
  <c r="H10" i="17"/>
  <c r="H23" i="17"/>
  <c r="Q23" i="17" s="1"/>
  <c r="N9" i="17"/>
  <c r="E23" i="17"/>
  <c r="N23" i="17" s="1"/>
  <c r="E10" i="17"/>
  <c r="K9" i="17"/>
  <c r="B23" i="17"/>
  <c r="K23" i="17" s="1"/>
  <c r="B10" i="17"/>
  <c r="Q3" i="17"/>
  <c r="H17" i="17"/>
  <c r="Q17" i="17" s="1"/>
  <c r="O3" i="17"/>
  <c r="F17" i="17"/>
  <c r="M17" i="17" s="1"/>
  <c r="P11" i="17"/>
  <c r="G25" i="17"/>
  <c r="G12" i="17"/>
  <c r="L3" i="17"/>
  <c r="C17" i="17"/>
  <c r="N3" i="17"/>
  <c r="E17" i="17"/>
  <c r="N17" i="17" s="1"/>
  <c r="P24" i="17"/>
  <c r="M9" i="17"/>
  <c r="D23" i="17"/>
  <c r="L23" i="17" s="1"/>
  <c r="D10" i="17"/>
  <c r="L10" i="13"/>
  <c r="O22" i="13"/>
  <c r="P22" i="13"/>
  <c r="P9" i="13"/>
  <c r="G23" i="13"/>
  <c r="G10" i="13"/>
  <c r="K10" i="13"/>
  <c r="B24" i="13"/>
  <c r="K24" i="13" s="1"/>
  <c r="B11" i="13"/>
  <c r="O17" i="13"/>
  <c r="P17" i="13"/>
  <c r="M10" i="13"/>
  <c r="D11" i="13"/>
  <c r="D24" i="13"/>
  <c r="L24" i="13" s="1"/>
  <c r="F11" i="13"/>
  <c r="O10" i="13"/>
  <c r="F24" i="13"/>
  <c r="M24" i="13" s="1"/>
  <c r="Q10" i="13"/>
  <c r="H24" i="13"/>
  <c r="Q24" i="13" s="1"/>
  <c r="H11" i="13"/>
  <c r="M3" i="13"/>
  <c r="D17" i="13"/>
  <c r="L17" i="13" s="1"/>
  <c r="C25" i="13"/>
  <c r="C12" i="13"/>
  <c r="L11" i="13"/>
  <c r="N9" i="13"/>
  <c r="E10" i="13"/>
  <c r="E23" i="13"/>
  <c r="N23" i="13" s="1"/>
  <c r="B24" i="12"/>
  <c r="K24" i="12" s="1"/>
  <c r="B11" i="12"/>
  <c r="K10" i="12"/>
  <c r="D25" i="12"/>
  <c r="L25" i="12" s="1"/>
  <c r="D12" i="12"/>
  <c r="M11" i="12"/>
  <c r="P24" i="12"/>
  <c r="O24" i="12"/>
  <c r="C17" i="12"/>
  <c r="L3" i="12"/>
  <c r="N11" i="12"/>
  <c r="E12" i="12"/>
  <c r="E25" i="12"/>
  <c r="N25" i="12" s="1"/>
  <c r="G12" i="12"/>
  <c r="P11" i="12"/>
  <c r="G25" i="12"/>
  <c r="E17" i="12"/>
  <c r="N17" i="12" s="1"/>
  <c r="N3" i="12"/>
  <c r="O12" i="12"/>
  <c r="F13" i="12"/>
  <c r="O18" i="12"/>
  <c r="P18" i="12"/>
  <c r="K3" i="12"/>
  <c r="B17" i="12"/>
  <c r="K17" i="12" s="1"/>
  <c r="H13" i="12"/>
  <c r="Q12" i="12"/>
  <c r="Q3" i="12"/>
  <c r="H17" i="12"/>
  <c r="Q17" i="12" s="1"/>
  <c r="P3" i="12"/>
  <c r="G17" i="12"/>
  <c r="F17" i="12"/>
  <c r="M17" i="12" s="1"/>
  <c r="O3" i="12"/>
  <c r="M3" i="12"/>
  <c r="D17" i="12"/>
  <c r="L17" i="12" s="1"/>
  <c r="C12" i="12"/>
  <c r="L11" i="12"/>
  <c r="C25" i="12"/>
  <c r="G25" i="9"/>
  <c r="N13" i="9"/>
  <c r="H11" i="9"/>
  <c r="Q10" i="9"/>
  <c r="H24" i="9"/>
  <c r="Q24" i="9" s="1"/>
  <c r="P18" i="9"/>
  <c r="O18" i="9"/>
  <c r="Q3" i="9"/>
  <c r="H17" i="9"/>
  <c r="Q17" i="9" s="1"/>
  <c r="M3" i="9"/>
  <c r="D17" i="9"/>
  <c r="L17" i="9" s="1"/>
  <c r="F12" i="9"/>
  <c r="F25" i="9"/>
  <c r="M25" i="9" s="1"/>
  <c r="O11" i="9"/>
  <c r="C17" i="9"/>
  <c r="L3" i="9"/>
  <c r="M13" i="9"/>
  <c r="G17" i="9"/>
  <c r="P3" i="9"/>
  <c r="L11" i="9"/>
  <c r="C25" i="9"/>
  <c r="C12" i="9"/>
  <c r="P25" i="9"/>
  <c r="O25" i="9"/>
  <c r="K3" i="9"/>
  <c r="B17" i="9"/>
  <c r="K17" i="9" s="1"/>
  <c r="K11" i="9"/>
  <c r="B12" i="9"/>
  <c r="B25" i="9"/>
  <c r="K25" i="9" s="1"/>
  <c r="G13" i="9"/>
  <c r="P12" i="9"/>
  <c r="E17" i="9"/>
  <c r="N17" i="9" s="1"/>
  <c r="N3" i="9"/>
  <c r="D12" i="8"/>
  <c r="D25" i="8"/>
  <c r="L25" i="8" s="1"/>
  <c r="M11" i="8"/>
  <c r="N3" i="8"/>
  <c r="E17" i="8"/>
  <c r="N17" i="8" s="1"/>
  <c r="C12" i="8"/>
  <c r="L11" i="8"/>
  <c r="C25" i="8"/>
  <c r="G12" i="8"/>
  <c r="G25" i="8"/>
  <c r="P11" i="8"/>
  <c r="F12" i="8"/>
  <c r="F25" i="8"/>
  <c r="M25" i="8" s="1"/>
  <c r="O11" i="8"/>
  <c r="E25" i="8"/>
  <c r="N25" i="8" s="1"/>
  <c r="E12" i="8"/>
  <c r="N11" i="8"/>
  <c r="O17" i="8"/>
  <c r="P17" i="8"/>
  <c r="Q11" i="8"/>
  <c r="H25" i="8"/>
  <c r="Q25" i="8" s="1"/>
  <c r="H12" i="8"/>
  <c r="B12" i="8"/>
  <c r="K11" i="8"/>
  <c r="B25" i="8"/>
  <c r="K25" i="8" s="1"/>
  <c r="O24" i="8"/>
  <c r="P24" i="8"/>
  <c r="L10" i="7"/>
  <c r="C11" i="7"/>
  <c r="C24" i="7"/>
  <c r="P4" i="7"/>
  <c r="G3" i="7"/>
  <c r="G18" i="7"/>
  <c r="O23" i="7"/>
  <c r="P23" i="7"/>
  <c r="B24" i="7"/>
  <c r="K24" i="7" s="1"/>
  <c r="B11" i="7"/>
  <c r="K10" i="7"/>
  <c r="D24" i="7"/>
  <c r="L24" i="7" s="1"/>
  <c r="D11" i="7"/>
  <c r="M10" i="7"/>
  <c r="H24" i="7"/>
  <c r="Q24" i="7" s="1"/>
  <c r="H11" i="7"/>
  <c r="Q10" i="7"/>
  <c r="G11" i="7"/>
  <c r="P10" i="7"/>
  <c r="G24" i="7"/>
  <c r="E24" i="7"/>
  <c r="N24" i="7" s="1"/>
  <c r="E11" i="7"/>
  <c r="N10" i="7"/>
  <c r="F13" i="7"/>
  <c r="O12" i="7"/>
  <c r="Q3" i="7"/>
  <c r="H17" i="7"/>
  <c r="Q17" i="7" s="1"/>
  <c r="E24" i="10"/>
  <c r="N24" i="10" s="1"/>
  <c r="N10" i="10"/>
  <c r="E11" i="10"/>
  <c r="C24" i="10"/>
  <c r="L10" i="10"/>
  <c r="C11" i="10"/>
  <c r="G12" i="10"/>
  <c r="P11" i="10"/>
  <c r="G25" i="10"/>
  <c r="E17" i="10"/>
  <c r="N17" i="10" s="1"/>
  <c r="N3" i="10"/>
  <c r="K13" i="10"/>
  <c r="M9" i="10"/>
  <c r="D23" i="10"/>
  <c r="L23" i="10" s="1"/>
  <c r="D10" i="10"/>
  <c r="P17" i="10"/>
  <c r="O17" i="10"/>
  <c r="O9" i="10"/>
  <c r="F10" i="10"/>
  <c r="F23" i="10"/>
  <c r="M23" i="10" s="1"/>
  <c r="P24" i="10"/>
  <c r="O24" i="10"/>
  <c r="D13" i="5"/>
  <c r="L13" i="5" s="1"/>
  <c r="L12" i="5"/>
  <c r="G13" i="28"/>
  <c r="G14" i="28" s="1"/>
  <c r="O14" i="28" s="1"/>
  <c r="F13" i="28"/>
  <c r="F14" i="28" s="1"/>
  <c r="N14" i="28" s="1"/>
  <c r="P18" i="28"/>
  <c r="O18" i="28"/>
  <c r="N13" i="28"/>
  <c r="L26" i="28"/>
  <c r="M12" i="28"/>
  <c r="P24" i="28"/>
  <c r="O24" i="28"/>
  <c r="K11" i="28"/>
  <c r="P11" i="28"/>
  <c r="L12" i="28"/>
  <c r="P17" i="18"/>
  <c r="O17" i="18"/>
  <c r="P10" i="18"/>
  <c r="G24" i="18"/>
  <c r="G11" i="18"/>
  <c r="P23" i="18"/>
  <c r="O23" i="18"/>
  <c r="D13" i="18"/>
  <c r="M13" i="18" s="1"/>
  <c r="M12" i="18"/>
  <c r="C17" i="18"/>
  <c r="L3" i="18"/>
  <c r="C24" i="18"/>
  <c r="L10" i="18"/>
  <c r="C11" i="18"/>
  <c r="M12" i="21" l="1"/>
  <c r="D13" i="21"/>
  <c r="H14" i="21"/>
  <c r="Q13" i="21"/>
  <c r="E14" i="21"/>
  <c r="N13" i="21"/>
  <c r="P27" i="21"/>
  <c r="O27" i="21"/>
  <c r="L13" i="21"/>
  <c r="C14" i="21"/>
  <c r="G15" i="21"/>
  <c r="P15" i="21" s="1"/>
  <c r="P14" i="21"/>
  <c r="M26" i="21"/>
  <c r="F27" i="21"/>
  <c r="M27" i="21" s="1"/>
  <c r="F14" i="21"/>
  <c r="O13" i="21"/>
  <c r="E27" i="21"/>
  <c r="N27" i="21" s="1"/>
  <c r="N26" i="21"/>
  <c r="H27" i="21"/>
  <c r="Q27" i="21" s="1"/>
  <c r="Q26" i="21"/>
  <c r="K13" i="21"/>
  <c r="B14" i="21"/>
  <c r="O13" i="28"/>
  <c r="B13" i="28"/>
  <c r="B14" i="28" s="1"/>
  <c r="B26" i="28"/>
  <c r="E15" i="3"/>
  <c r="N15" i="3" s="1"/>
  <c r="N14" i="3"/>
  <c r="C15" i="3"/>
  <c r="L15" i="3" s="1"/>
  <c r="L14" i="3"/>
  <c r="B15" i="3"/>
  <c r="K15" i="3" s="1"/>
  <c r="K14" i="3"/>
  <c r="P27" i="3"/>
  <c r="O27" i="3"/>
  <c r="F15" i="3"/>
  <c r="O15" i="3" s="1"/>
  <c r="O14" i="3"/>
  <c r="G15" i="3"/>
  <c r="P15" i="3" s="1"/>
  <c r="P14" i="3"/>
  <c r="L13" i="26"/>
  <c r="C14" i="26"/>
  <c r="G14" i="26"/>
  <c r="P13" i="26"/>
  <c r="O13" i="26"/>
  <c r="F14" i="26"/>
  <c r="P27" i="26"/>
  <c r="O27" i="26"/>
  <c r="M26" i="26"/>
  <c r="F27" i="26"/>
  <c r="M27" i="26" s="1"/>
  <c r="E27" i="26"/>
  <c r="N27" i="26" s="1"/>
  <c r="N26" i="26"/>
  <c r="N13" i="26"/>
  <c r="E14" i="26"/>
  <c r="D15" i="26"/>
  <c r="M15" i="26" s="1"/>
  <c r="M14" i="26"/>
  <c r="D15" i="24"/>
  <c r="M15" i="24" s="1"/>
  <c r="M14" i="24"/>
  <c r="P26" i="24"/>
  <c r="G27" i="24"/>
  <c r="O26" i="24"/>
  <c r="C14" i="24"/>
  <c r="L13" i="24"/>
  <c r="Q26" i="24"/>
  <c r="H27" i="24"/>
  <c r="Q27" i="24" s="1"/>
  <c r="K13" i="24"/>
  <c r="B14" i="24"/>
  <c r="M26" i="24"/>
  <c r="F27" i="24"/>
  <c r="M27" i="24" s="1"/>
  <c r="O13" i="24"/>
  <c r="F14" i="24"/>
  <c r="Q13" i="24"/>
  <c r="H14" i="24"/>
  <c r="E13" i="24"/>
  <c r="N12" i="24"/>
  <c r="D27" i="24"/>
  <c r="L27" i="24" s="1"/>
  <c r="L26" i="24"/>
  <c r="H13" i="25"/>
  <c r="Q12" i="25"/>
  <c r="P25" i="25"/>
  <c r="G26" i="25"/>
  <c r="O25" i="25"/>
  <c r="K13" i="25"/>
  <c r="B14" i="25"/>
  <c r="G13" i="25"/>
  <c r="P12" i="25"/>
  <c r="D15" i="25"/>
  <c r="M15" i="25" s="1"/>
  <c r="M14" i="25"/>
  <c r="E15" i="25"/>
  <c r="N15" i="25" s="1"/>
  <c r="N14" i="25"/>
  <c r="L13" i="25"/>
  <c r="C14" i="25"/>
  <c r="F27" i="25"/>
  <c r="M27" i="25" s="1"/>
  <c r="M26" i="25"/>
  <c r="D27" i="25"/>
  <c r="L27" i="25" s="1"/>
  <c r="L26" i="25"/>
  <c r="Q26" i="25"/>
  <c r="H27" i="25"/>
  <c r="Q27" i="25" s="1"/>
  <c r="B27" i="23"/>
  <c r="K27" i="23" s="1"/>
  <c r="K26" i="23"/>
  <c r="Q12" i="23"/>
  <c r="H13" i="23"/>
  <c r="D14" i="23"/>
  <c r="M13" i="23"/>
  <c r="Q26" i="23"/>
  <c r="H27" i="23"/>
  <c r="Q27" i="23" s="1"/>
  <c r="B14" i="23"/>
  <c r="K13" i="23"/>
  <c r="G14" i="23"/>
  <c r="P13" i="23"/>
  <c r="F14" i="23"/>
  <c r="O13" i="23"/>
  <c r="E14" i="22"/>
  <c r="N13" i="22"/>
  <c r="L13" i="22"/>
  <c r="C14" i="22"/>
  <c r="N26" i="22"/>
  <c r="E27" i="22"/>
  <c r="N27" i="22" s="1"/>
  <c r="M10" i="20"/>
  <c r="D24" i="20"/>
  <c r="L24" i="20" s="1"/>
  <c r="D11" i="20"/>
  <c r="O24" i="20"/>
  <c r="P24" i="20"/>
  <c r="L10" i="20"/>
  <c r="C24" i="20"/>
  <c r="C11" i="20"/>
  <c r="E11" i="20"/>
  <c r="N10" i="20"/>
  <c r="E24" i="20"/>
  <c r="N24" i="20" s="1"/>
  <c r="O12" i="20"/>
  <c r="F13" i="20"/>
  <c r="O13" i="20" s="1"/>
  <c r="G12" i="20"/>
  <c r="P11" i="20"/>
  <c r="G25" i="20"/>
  <c r="K12" i="20"/>
  <c r="B13" i="20"/>
  <c r="K13" i="20" s="1"/>
  <c r="Q12" i="20"/>
  <c r="H13" i="20"/>
  <c r="Q13" i="20" s="1"/>
  <c r="N11" i="19"/>
  <c r="E25" i="19"/>
  <c r="N25" i="19" s="1"/>
  <c r="E12" i="19"/>
  <c r="D13" i="19"/>
  <c r="M13" i="19" s="1"/>
  <c r="M12" i="19"/>
  <c r="D13" i="15"/>
  <c r="M13" i="15" s="1"/>
  <c r="M12" i="15"/>
  <c r="L10" i="14"/>
  <c r="C11" i="14"/>
  <c r="C24" i="14"/>
  <c r="H25" i="14"/>
  <c r="Q25" i="14" s="1"/>
  <c r="Q11" i="14"/>
  <c r="H12" i="14"/>
  <c r="D11" i="14"/>
  <c r="M10" i="14"/>
  <c r="D24" i="14"/>
  <c r="L24" i="14" s="1"/>
  <c r="E12" i="14"/>
  <c r="N11" i="14"/>
  <c r="E25" i="14"/>
  <c r="N25" i="14" s="1"/>
  <c r="F24" i="14"/>
  <c r="M24" i="14" s="1"/>
  <c r="F11" i="14"/>
  <c r="O10" i="14"/>
  <c r="B13" i="14"/>
  <c r="K12" i="14"/>
  <c r="P24" i="14"/>
  <c r="O24" i="14"/>
  <c r="P11" i="14"/>
  <c r="G12" i="14"/>
  <c r="G25" i="14"/>
  <c r="O10" i="17"/>
  <c r="F24" i="17"/>
  <c r="M24" i="17" s="1"/>
  <c r="F11" i="17"/>
  <c r="L10" i="17"/>
  <c r="C11" i="17"/>
  <c r="C24" i="17"/>
  <c r="O17" i="17"/>
  <c r="P17" i="17"/>
  <c r="Q10" i="17"/>
  <c r="H11" i="17"/>
  <c r="H24" i="17"/>
  <c r="Q24" i="17" s="1"/>
  <c r="N10" i="17"/>
  <c r="E24" i="17"/>
  <c r="N24" i="17" s="1"/>
  <c r="E11" i="17"/>
  <c r="M10" i="17"/>
  <c r="D24" i="17"/>
  <c r="L24" i="17" s="1"/>
  <c r="D11" i="17"/>
  <c r="O25" i="17"/>
  <c r="P25" i="17"/>
  <c r="K10" i="17"/>
  <c r="B24" i="17"/>
  <c r="K24" i="17" s="1"/>
  <c r="B11" i="17"/>
  <c r="P12" i="17"/>
  <c r="G13" i="17"/>
  <c r="P13" i="17" s="1"/>
  <c r="G11" i="13"/>
  <c r="G24" i="13"/>
  <c r="P10" i="13"/>
  <c r="O23" i="13"/>
  <c r="P23" i="13"/>
  <c r="C13" i="13"/>
  <c r="L12" i="13"/>
  <c r="M11" i="13"/>
  <c r="D12" i="13"/>
  <c r="D25" i="13"/>
  <c r="L25" i="13" s="1"/>
  <c r="K11" i="13"/>
  <c r="B12" i="13"/>
  <c r="B25" i="13"/>
  <c r="K25" i="13" s="1"/>
  <c r="E24" i="13"/>
  <c r="N24" i="13" s="1"/>
  <c r="E11" i="13"/>
  <c r="N10" i="13"/>
  <c r="H12" i="13"/>
  <c r="Q11" i="13"/>
  <c r="H25" i="13"/>
  <c r="Q25" i="13" s="1"/>
  <c r="O11" i="13"/>
  <c r="F25" i="13"/>
  <c r="M25" i="13" s="1"/>
  <c r="F12" i="13"/>
  <c r="K11" i="12"/>
  <c r="B12" i="12"/>
  <c r="B25" i="12"/>
  <c r="K25" i="12" s="1"/>
  <c r="D13" i="12"/>
  <c r="M12" i="12"/>
  <c r="Q13" i="12"/>
  <c r="G13" i="12"/>
  <c r="P12" i="12"/>
  <c r="P17" i="12"/>
  <c r="O17" i="12"/>
  <c r="O13" i="12"/>
  <c r="C13" i="12"/>
  <c r="L12" i="12"/>
  <c r="O25" i="12"/>
  <c r="P25" i="12"/>
  <c r="E13" i="12"/>
  <c r="N12" i="12"/>
  <c r="H12" i="9"/>
  <c r="H25" i="9"/>
  <c r="Q25" i="9" s="1"/>
  <c r="Q11" i="9"/>
  <c r="K12" i="9"/>
  <c r="B13" i="9"/>
  <c r="F13" i="9"/>
  <c r="O12" i="9"/>
  <c r="P13" i="9"/>
  <c r="C13" i="9"/>
  <c r="L12" i="9"/>
  <c r="P17" i="9"/>
  <c r="O17" i="9"/>
  <c r="Q12" i="8"/>
  <c r="H13" i="8"/>
  <c r="P25" i="8"/>
  <c r="O25" i="8"/>
  <c r="C13" i="8"/>
  <c r="L12" i="8"/>
  <c r="N12" i="8"/>
  <c r="E13" i="8"/>
  <c r="F13" i="8"/>
  <c r="O12" i="8"/>
  <c r="B13" i="8"/>
  <c r="K12" i="8"/>
  <c r="P12" i="8"/>
  <c r="G13" i="8"/>
  <c r="D13" i="8"/>
  <c r="M12" i="8"/>
  <c r="P18" i="7"/>
  <c r="O18" i="7"/>
  <c r="C12" i="7"/>
  <c r="L11" i="7"/>
  <c r="C25" i="7"/>
  <c r="P3" i="7"/>
  <c r="G17" i="7"/>
  <c r="O13" i="7"/>
  <c r="O24" i="7"/>
  <c r="P24" i="7"/>
  <c r="E25" i="7"/>
  <c r="N25" i="7" s="1"/>
  <c r="N11" i="7"/>
  <c r="E12" i="7"/>
  <c r="P11" i="7"/>
  <c r="G25" i="7"/>
  <c r="G12" i="7"/>
  <c r="B12" i="7"/>
  <c r="B25" i="7"/>
  <c r="K25" i="7" s="1"/>
  <c r="K11" i="7"/>
  <c r="D12" i="7"/>
  <c r="D25" i="7"/>
  <c r="L25" i="7" s="1"/>
  <c r="M11" i="7"/>
  <c r="H12" i="7"/>
  <c r="H25" i="7"/>
  <c r="Q25" i="7" s="1"/>
  <c r="Q11" i="7"/>
  <c r="N11" i="10"/>
  <c r="E12" i="10"/>
  <c r="E25" i="10"/>
  <c r="N25" i="10" s="1"/>
  <c r="P12" i="10"/>
  <c r="G13" i="10"/>
  <c r="C12" i="10"/>
  <c r="C25" i="10"/>
  <c r="L11" i="10"/>
  <c r="O25" i="10"/>
  <c r="P25" i="10"/>
  <c r="F24" i="10"/>
  <c r="M24" i="10" s="1"/>
  <c r="F11" i="10"/>
  <c r="O10" i="10"/>
  <c r="D24" i="10"/>
  <c r="L24" i="10" s="1"/>
  <c r="D11" i="10"/>
  <c r="M10" i="10"/>
  <c r="P12" i="28"/>
  <c r="M13" i="28"/>
  <c r="M14" i="28"/>
  <c r="L13" i="28"/>
  <c r="L14" i="28"/>
  <c r="O25" i="28"/>
  <c r="P25" i="28"/>
  <c r="K12" i="28"/>
  <c r="K26" i="28"/>
  <c r="P24" i="18"/>
  <c r="O24" i="18"/>
  <c r="G25" i="18"/>
  <c r="G12" i="18"/>
  <c r="P11" i="18"/>
  <c r="C25" i="18"/>
  <c r="C12" i="18"/>
  <c r="L11" i="18"/>
  <c r="D14" i="21" l="1"/>
  <c r="M13" i="21"/>
  <c r="F15" i="21"/>
  <c r="O15" i="21" s="1"/>
  <c r="O14" i="21"/>
  <c r="C15" i="21"/>
  <c r="L15" i="21" s="1"/>
  <c r="L14" i="21"/>
  <c r="E15" i="21"/>
  <c r="N15" i="21" s="1"/>
  <c r="N14" i="21"/>
  <c r="K14" i="21"/>
  <c r="B15" i="21"/>
  <c r="K15" i="21" s="1"/>
  <c r="H15" i="21"/>
  <c r="Q15" i="21" s="1"/>
  <c r="Q14" i="21"/>
  <c r="P14" i="26"/>
  <c r="G15" i="26"/>
  <c r="P15" i="26" s="1"/>
  <c r="C15" i="26"/>
  <c r="L15" i="26" s="1"/>
  <c r="L14" i="26"/>
  <c r="O14" i="26"/>
  <c r="F15" i="26"/>
  <c r="O15" i="26" s="1"/>
  <c r="N14" i="26"/>
  <c r="E15" i="26"/>
  <c r="N15" i="26" s="1"/>
  <c r="O27" i="24"/>
  <c r="P27" i="24"/>
  <c r="Q14" i="24"/>
  <c r="H15" i="24"/>
  <c r="Q15" i="24" s="1"/>
  <c r="F15" i="24"/>
  <c r="O15" i="24" s="1"/>
  <c r="O14" i="24"/>
  <c r="B15" i="24"/>
  <c r="K15" i="24" s="1"/>
  <c r="K14" i="24"/>
  <c r="E14" i="24"/>
  <c r="N13" i="24"/>
  <c r="L14" i="24"/>
  <c r="C15" i="24"/>
  <c r="L15" i="24" s="1"/>
  <c r="H14" i="25"/>
  <c r="Q13" i="25"/>
  <c r="G14" i="25"/>
  <c r="P13" i="25"/>
  <c r="O26" i="25"/>
  <c r="P26" i="25"/>
  <c r="G27" i="25"/>
  <c r="K14" i="25"/>
  <c r="B15" i="25"/>
  <c r="K15" i="25" s="1"/>
  <c r="L14" i="25"/>
  <c r="C15" i="25"/>
  <c r="L15" i="25" s="1"/>
  <c r="Q13" i="23"/>
  <c r="H14" i="23"/>
  <c r="P14" i="23"/>
  <c r="G15" i="23"/>
  <c r="P15" i="23" s="1"/>
  <c r="O14" i="23"/>
  <c r="F15" i="23"/>
  <c r="O15" i="23" s="1"/>
  <c r="B15" i="23"/>
  <c r="K15" i="23" s="1"/>
  <c r="K14" i="23"/>
  <c r="M14" i="23"/>
  <c r="D15" i="23"/>
  <c r="M15" i="23" s="1"/>
  <c r="E15" i="22"/>
  <c r="N15" i="22" s="1"/>
  <c r="N14" i="22"/>
  <c r="L14" i="22"/>
  <c r="C15" i="22"/>
  <c r="L15" i="22" s="1"/>
  <c r="D12" i="20"/>
  <c r="M11" i="20"/>
  <c r="D25" i="20"/>
  <c r="L25" i="20" s="1"/>
  <c r="P25" i="20"/>
  <c r="O25" i="20"/>
  <c r="E12" i="20"/>
  <c r="N11" i="20"/>
  <c r="E25" i="20"/>
  <c r="N25" i="20" s="1"/>
  <c r="P12" i="20"/>
  <c r="G13" i="20"/>
  <c r="P13" i="20" s="1"/>
  <c r="C25" i="20"/>
  <c r="C12" i="20"/>
  <c r="L11" i="20"/>
  <c r="N12" i="19"/>
  <c r="E13" i="19"/>
  <c r="N13" i="19" s="1"/>
  <c r="L11" i="14"/>
  <c r="C25" i="14"/>
  <c r="C12" i="14"/>
  <c r="H13" i="14"/>
  <c r="Q12" i="14"/>
  <c r="G13" i="14"/>
  <c r="P12" i="14"/>
  <c r="K13" i="14"/>
  <c r="D12" i="14"/>
  <c r="M11" i="14"/>
  <c r="D25" i="14"/>
  <c r="L25" i="14" s="1"/>
  <c r="O25" i="14"/>
  <c r="P25" i="14"/>
  <c r="F12" i="14"/>
  <c r="O11" i="14"/>
  <c r="F25" i="14"/>
  <c r="M25" i="14" s="1"/>
  <c r="N12" i="14"/>
  <c r="E13" i="14"/>
  <c r="F25" i="17"/>
  <c r="M25" i="17" s="1"/>
  <c r="F12" i="17"/>
  <c r="O11" i="17"/>
  <c r="N11" i="17"/>
  <c r="E12" i="17"/>
  <c r="E25" i="17"/>
  <c r="N25" i="17" s="1"/>
  <c r="Q11" i="17"/>
  <c r="H25" i="17"/>
  <c r="Q25" i="17" s="1"/>
  <c r="H12" i="17"/>
  <c r="L11" i="17"/>
  <c r="C12" i="17"/>
  <c r="C25" i="17"/>
  <c r="K11" i="17"/>
  <c r="B25" i="17"/>
  <c r="K25" i="17" s="1"/>
  <c r="B12" i="17"/>
  <c r="M11" i="17"/>
  <c r="D25" i="17"/>
  <c r="L25" i="17" s="1"/>
  <c r="D12" i="17"/>
  <c r="P24" i="13"/>
  <c r="O24" i="13"/>
  <c r="P11" i="13"/>
  <c r="G12" i="13"/>
  <c r="G25" i="13"/>
  <c r="E12" i="13"/>
  <c r="E25" i="13"/>
  <c r="N25" i="13" s="1"/>
  <c r="N11" i="13"/>
  <c r="L13" i="13"/>
  <c r="F13" i="13"/>
  <c r="O12" i="13"/>
  <c r="H13" i="13"/>
  <c r="Q12" i="13"/>
  <c r="D13" i="13"/>
  <c r="M12" i="13"/>
  <c r="B13" i="13"/>
  <c r="K12" i="13"/>
  <c r="B13" i="12"/>
  <c r="K12" i="12"/>
  <c r="M13" i="12"/>
  <c r="L13" i="12"/>
  <c r="N13" i="12"/>
  <c r="P13" i="12"/>
  <c r="H13" i="9"/>
  <c r="Q12" i="9"/>
  <c r="K13" i="9"/>
  <c r="L13" i="9"/>
  <c r="O13" i="9"/>
  <c r="Q13" i="8"/>
  <c r="M13" i="8"/>
  <c r="N13" i="8"/>
  <c r="P13" i="8"/>
  <c r="O13" i="8"/>
  <c r="K13" i="8"/>
  <c r="L13" i="8"/>
  <c r="P17" i="7"/>
  <c r="O17" i="7"/>
  <c r="C13" i="7"/>
  <c r="L12" i="7"/>
  <c r="H13" i="7"/>
  <c r="Q12" i="7"/>
  <c r="P25" i="7"/>
  <c r="O25" i="7"/>
  <c r="K12" i="7"/>
  <c r="B13" i="7"/>
  <c r="E13" i="7"/>
  <c r="N12" i="7"/>
  <c r="D13" i="7"/>
  <c r="M12" i="7"/>
  <c r="G13" i="7"/>
  <c r="P12" i="7"/>
  <c r="E13" i="10"/>
  <c r="N12" i="10"/>
  <c r="F12" i="10"/>
  <c r="F25" i="10"/>
  <c r="M25" i="10" s="1"/>
  <c r="O11" i="10"/>
  <c r="L12" i="10"/>
  <c r="C13" i="10"/>
  <c r="D12" i="10"/>
  <c r="M11" i="10"/>
  <c r="D25" i="10"/>
  <c r="L25" i="10" s="1"/>
  <c r="P13" i="10"/>
  <c r="P26" i="28"/>
  <c r="O26" i="28"/>
  <c r="K13" i="28"/>
  <c r="K14" i="28"/>
  <c r="P13" i="28"/>
  <c r="P14" i="28"/>
  <c r="P12" i="18"/>
  <c r="G13" i="18"/>
  <c r="P13" i="18" s="1"/>
  <c r="P25" i="18"/>
  <c r="O25" i="18"/>
  <c r="L12" i="18"/>
  <c r="C13" i="18"/>
  <c r="L13" i="18" s="1"/>
  <c r="D15" i="21" l="1"/>
  <c r="M15" i="21" s="1"/>
  <c r="M14" i="21"/>
  <c r="N14" i="24"/>
  <c r="E15" i="24"/>
  <c r="N15" i="24" s="1"/>
  <c r="H15" i="25"/>
  <c r="Q15" i="25" s="1"/>
  <c r="Q14" i="25"/>
  <c r="P27" i="25"/>
  <c r="O27" i="25"/>
  <c r="P14" i="25"/>
  <c r="G15" i="25"/>
  <c r="P15" i="25" s="1"/>
  <c r="Q14" i="23"/>
  <c r="H15" i="23"/>
  <c r="Q15" i="23" s="1"/>
  <c r="D13" i="20"/>
  <c r="M13" i="20" s="1"/>
  <c r="M12" i="20"/>
  <c r="N12" i="20"/>
  <c r="E13" i="20"/>
  <c r="N13" i="20" s="1"/>
  <c r="L12" i="20"/>
  <c r="C13" i="20"/>
  <c r="L13" i="20" s="1"/>
  <c r="C13" i="14"/>
  <c r="L12" i="14"/>
  <c r="Q13" i="14"/>
  <c r="N13" i="14"/>
  <c r="M12" i="14"/>
  <c r="D13" i="14"/>
  <c r="P13" i="14"/>
  <c r="F13" i="14"/>
  <c r="O12" i="14"/>
  <c r="O12" i="17"/>
  <c r="F13" i="17"/>
  <c r="O13" i="17" s="1"/>
  <c r="Q12" i="17"/>
  <c r="H13" i="17"/>
  <c r="Q13" i="17" s="1"/>
  <c r="N12" i="17"/>
  <c r="E13" i="17"/>
  <c r="N13" i="17" s="1"/>
  <c r="L12" i="17"/>
  <c r="C13" i="17"/>
  <c r="L13" i="17" s="1"/>
  <c r="K12" i="17"/>
  <c r="B13" i="17"/>
  <c r="K13" i="17" s="1"/>
  <c r="M12" i="17"/>
  <c r="D13" i="17"/>
  <c r="M13" i="17" s="1"/>
  <c r="P25" i="13"/>
  <c r="O25" i="13"/>
  <c r="P12" i="13"/>
  <c r="G13" i="13"/>
  <c r="O13" i="13"/>
  <c r="K13" i="13"/>
  <c r="M13" i="13"/>
  <c r="Q13" i="13"/>
  <c r="E13" i="13"/>
  <c r="N12" i="13"/>
  <c r="K13" i="12"/>
  <c r="Q13" i="9"/>
  <c r="L13" i="7"/>
  <c r="P13" i="7"/>
  <c r="K13" i="7"/>
  <c r="M13" i="7"/>
  <c r="N13" i="7"/>
  <c r="Q13" i="7"/>
  <c r="N13" i="10"/>
  <c r="L13" i="10"/>
  <c r="F13" i="10"/>
  <c r="O12" i="10"/>
  <c r="D13" i="10"/>
  <c r="M12" i="10"/>
  <c r="L13" i="14" l="1"/>
  <c r="M13" i="14"/>
  <c r="O13" i="14"/>
  <c r="P13" i="13"/>
  <c r="N13" i="13"/>
  <c r="O13" i="10"/>
  <c r="M13" i="10"/>
</calcChain>
</file>

<file path=xl/sharedStrings.xml><?xml version="1.0" encoding="utf-8"?>
<sst xmlns="http://schemas.openxmlformats.org/spreadsheetml/2006/main" count="1000" uniqueCount="159">
  <si>
    <t>연령</t>
    <phoneticPr fontId="2" type="noConversion"/>
  </si>
  <si>
    <t>주니어</t>
    <phoneticPr fontId="2" type="noConversion"/>
  </si>
  <si>
    <t>~18</t>
    <phoneticPr fontId="2" type="noConversion"/>
  </si>
  <si>
    <t>19~26</t>
    <phoneticPr fontId="2" type="noConversion"/>
  </si>
  <si>
    <t>27~33</t>
    <phoneticPr fontId="2" type="noConversion"/>
  </si>
  <si>
    <t>33~44</t>
    <phoneticPr fontId="2" type="noConversion"/>
  </si>
  <si>
    <t>45~</t>
    <phoneticPr fontId="2" type="noConversion"/>
  </si>
  <si>
    <t>레벨</t>
    <phoneticPr fontId="2" type="noConversion"/>
  </si>
  <si>
    <t>브론즈</t>
    <phoneticPr fontId="2" type="noConversion"/>
  </si>
  <si>
    <t>실버</t>
    <phoneticPr fontId="2" type="noConversion"/>
  </si>
  <si>
    <t>골드</t>
    <phoneticPr fontId="2" type="noConversion"/>
  </si>
  <si>
    <t>플래티넘</t>
    <phoneticPr fontId="2" type="noConversion"/>
  </si>
  <si>
    <t>다이어몬드</t>
    <phoneticPr fontId="2" type="noConversion"/>
  </si>
  <si>
    <t>마스터</t>
    <phoneticPr fontId="2" type="noConversion"/>
  </si>
  <si>
    <t>챌린져</t>
    <phoneticPr fontId="2" type="noConversion"/>
  </si>
  <si>
    <t>상위50~</t>
    <phoneticPr fontId="2" type="noConversion"/>
  </si>
  <si>
    <t>하위0~하위50</t>
    <phoneticPr fontId="2" type="noConversion"/>
  </si>
  <si>
    <t>상위20~</t>
    <phoneticPr fontId="2" type="noConversion"/>
  </si>
  <si>
    <t>상위9~</t>
    <phoneticPr fontId="2" type="noConversion"/>
  </si>
  <si>
    <t>상위4~</t>
    <phoneticPr fontId="2" type="noConversion"/>
  </si>
  <si>
    <t>상위1~</t>
    <phoneticPr fontId="2" type="noConversion"/>
  </si>
  <si>
    <t>상위0.01~</t>
    <phoneticPr fontId="2" type="noConversion"/>
  </si>
  <si>
    <t>운동좀 하는놈</t>
    <phoneticPr fontId="2" type="noConversion"/>
  </si>
  <si>
    <t>체대갈수있는놈</t>
    <phoneticPr fontId="2" type="noConversion"/>
  </si>
  <si>
    <t>수능으로 연고대</t>
    <phoneticPr fontId="2" type="noConversion"/>
  </si>
  <si>
    <t>수능으로 치면 의대</t>
    <phoneticPr fontId="2" type="noConversion"/>
  </si>
  <si>
    <t>넘사벽</t>
    <phoneticPr fontId="2" type="noConversion"/>
  </si>
  <si>
    <t>일반적인 사람들</t>
    <phoneticPr fontId="2" type="noConversion"/>
  </si>
  <si>
    <t>운동안하는 일반적인 사람</t>
    <phoneticPr fontId="2" type="noConversion"/>
  </si>
  <si>
    <t>체중  레벨</t>
    <phoneticPr fontId="2" type="noConversion"/>
  </si>
  <si>
    <t>브론즈</t>
    <phoneticPr fontId="2" type="noConversion"/>
  </si>
  <si>
    <t>다이아몬드</t>
    <phoneticPr fontId="2" type="noConversion"/>
  </si>
  <si>
    <t>마스터</t>
    <phoneticPr fontId="2" type="noConversion"/>
  </si>
  <si>
    <t>챌린저</t>
    <phoneticPr fontId="2" type="noConversion"/>
  </si>
  <si>
    <t>플래티넘</t>
    <phoneticPr fontId="2" type="noConversion"/>
  </si>
  <si>
    <t>다이아몬드</t>
    <phoneticPr fontId="2" type="noConversion"/>
  </si>
  <si>
    <t>벤치프레스 - 체중비례(남자)</t>
    <phoneticPr fontId="2" type="noConversion"/>
  </si>
  <si>
    <t>벤치프레스 - 체중비례(여자)</t>
    <phoneticPr fontId="2" type="noConversion"/>
  </si>
  <si>
    <t>데드리프트 - 체중비례(남자)</t>
    <phoneticPr fontId="2" type="noConversion"/>
  </si>
  <si>
    <t>데드리프트 - 체중비례(여자)</t>
    <phoneticPr fontId="2" type="noConversion"/>
  </si>
  <si>
    <t>턱걸이 - 성인 남자</t>
    <phoneticPr fontId="2" type="noConversion"/>
  </si>
  <si>
    <t>턱걸이 - 체중비례(남자)</t>
    <phoneticPr fontId="2" type="noConversion"/>
  </si>
  <si>
    <t>턱걸이 - 체중비례(여자)</t>
    <phoneticPr fontId="2" type="noConversion"/>
  </si>
  <si>
    <t>팔굽혀펴기 - 체중비례(남자)</t>
    <phoneticPr fontId="2" type="noConversion"/>
  </si>
  <si>
    <t>팔굽혀펴기 - 체중비례(여자)</t>
    <phoneticPr fontId="2" type="noConversion"/>
  </si>
  <si>
    <t>2분동안 팔굽혀펴기 - 성인 남자</t>
    <phoneticPr fontId="2" type="noConversion"/>
  </si>
  <si>
    <t>데드리프트 10회 - 성인 남자</t>
    <phoneticPr fontId="2" type="noConversion"/>
  </si>
  <si>
    <t>데드리프트 10회 - 성인 여자</t>
    <phoneticPr fontId="2" type="noConversion"/>
  </si>
  <si>
    <t>벤치프레스 10회 - 성인 여자</t>
    <phoneticPr fontId="2" type="noConversion"/>
  </si>
  <si>
    <t>벤치프레스 10회 - 성인 남자</t>
    <phoneticPr fontId="2" type="noConversion"/>
  </si>
  <si>
    <t>d</t>
    <phoneticPr fontId="2" type="noConversion"/>
  </si>
  <si>
    <t>턱걸이(버티기) - 성인 여자</t>
    <phoneticPr fontId="2" type="noConversion"/>
  </si>
  <si>
    <t>1분동안 팔굽혀펴기 - 성인 여자</t>
    <phoneticPr fontId="2" type="noConversion"/>
  </si>
  <si>
    <t>밀리터리프레스 10회 - 성인 남자</t>
    <phoneticPr fontId="2" type="noConversion"/>
  </si>
  <si>
    <t>밀리터리프레스 - 체중비례(남자)</t>
    <phoneticPr fontId="2" type="noConversion"/>
  </si>
  <si>
    <t>밀리터리프레스 10회 - 성인 여자</t>
    <phoneticPr fontId="2" type="noConversion"/>
  </si>
  <si>
    <t>밀리터리프레스 - 체중비례(여자)</t>
    <phoneticPr fontId="2" type="noConversion"/>
  </si>
  <si>
    <t>레그익스텐션 10회 - 성인 남자</t>
    <phoneticPr fontId="2" type="noConversion"/>
  </si>
  <si>
    <t>레그익스텐션 10회 - 성인 여자</t>
    <phoneticPr fontId="2" type="noConversion"/>
  </si>
  <si>
    <t>레그익스텐션 - 체중비례(남자)</t>
    <phoneticPr fontId="2" type="noConversion"/>
  </si>
  <si>
    <t>레그익스텐션 - 체중비례(여자)</t>
    <phoneticPr fontId="2" type="noConversion"/>
  </si>
  <si>
    <t>케이블크로스 10회 - 성인 남자</t>
    <phoneticPr fontId="2" type="noConversion"/>
  </si>
  <si>
    <t>케이블크로스 - 체중비례(남자)</t>
    <phoneticPr fontId="2" type="noConversion"/>
  </si>
  <si>
    <t>케이블크로스 10회 - 성인 여자</t>
    <phoneticPr fontId="2" type="noConversion"/>
  </si>
  <si>
    <t>케이블크로스 - 체중비례(여자)</t>
    <phoneticPr fontId="2" type="noConversion"/>
  </si>
  <si>
    <t>트라이셉스푸쉬다운 10회 - 성인 남자</t>
    <phoneticPr fontId="2" type="noConversion"/>
  </si>
  <si>
    <t>트라이셉스푸쉬다운 - 체중비례(남자)</t>
    <phoneticPr fontId="2" type="noConversion"/>
  </si>
  <si>
    <t>트라이셉스푸쉬다운 10회 - 성인 여자</t>
    <phoneticPr fontId="2" type="noConversion"/>
  </si>
  <si>
    <t>트라이셉스푸쉬다운 - 체중비례(여자)</t>
    <phoneticPr fontId="2" type="noConversion"/>
  </si>
  <si>
    <t>머신숄더프레스 10회 - 성인 남자</t>
    <phoneticPr fontId="2" type="noConversion"/>
  </si>
  <si>
    <t>머신숄더프레스 - 체중비례(남자)</t>
    <phoneticPr fontId="2" type="noConversion"/>
  </si>
  <si>
    <t>머신숄더프레스 10회 - 성인 여자</t>
    <phoneticPr fontId="2" type="noConversion"/>
  </si>
  <si>
    <t>머신숄더프레스 - 체중비례(여자)</t>
    <phoneticPr fontId="2" type="noConversion"/>
  </si>
  <si>
    <t>레터럴레이즈 10회 - 성인 남자</t>
    <phoneticPr fontId="2" type="noConversion"/>
  </si>
  <si>
    <t>레터럴레이즈 - 체중비례(남자)</t>
    <phoneticPr fontId="2" type="noConversion"/>
  </si>
  <si>
    <t>레터럴레이즈 10회 - 성인 여자</t>
    <phoneticPr fontId="2" type="noConversion"/>
  </si>
  <si>
    <t>레터럴레이즈 - 체중비례(여자)</t>
    <phoneticPr fontId="2" type="noConversion"/>
  </si>
  <si>
    <t>덤벨컬 10회 - 성인 남자</t>
    <phoneticPr fontId="2" type="noConversion"/>
  </si>
  <si>
    <t>덤벨컬 - 체중비례(남자)</t>
    <phoneticPr fontId="2" type="noConversion"/>
  </si>
  <si>
    <t>덤벨컬 10회 - 성인 여자</t>
    <phoneticPr fontId="2" type="noConversion"/>
  </si>
  <si>
    <t>덤벨컬 - 체중비례(여자)</t>
    <phoneticPr fontId="2" type="noConversion"/>
  </si>
  <si>
    <t>바벨컬 10회 - 성인 남자</t>
    <phoneticPr fontId="2" type="noConversion"/>
  </si>
  <si>
    <t>바벨컬 - 체중비례(남자)</t>
    <phoneticPr fontId="2" type="noConversion"/>
  </si>
  <si>
    <t>바벨컬 10회 - 성인 여자</t>
    <phoneticPr fontId="2" type="noConversion"/>
  </si>
  <si>
    <t>바벨컬 - 체중비례(여자)</t>
    <phoneticPr fontId="2" type="noConversion"/>
  </si>
  <si>
    <t>스미스데드리프트 10회 - 성인 남자</t>
    <phoneticPr fontId="2" type="noConversion"/>
  </si>
  <si>
    <t>스미스데드리프트 - 체중비례(남자)</t>
    <phoneticPr fontId="2" type="noConversion"/>
  </si>
  <si>
    <t>스미스데드리프트 10회 - 성인 여자</t>
    <phoneticPr fontId="2" type="noConversion"/>
  </si>
  <si>
    <t>스미스데드리프트 - 체중비례(여자)</t>
    <phoneticPr fontId="2" type="noConversion"/>
  </si>
  <si>
    <t>바벨로우 10회 - 성인 남자</t>
    <phoneticPr fontId="2" type="noConversion"/>
  </si>
  <si>
    <t>바벨로우- 체중비례(남자)</t>
    <phoneticPr fontId="2" type="noConversion"/>
  </si>
  <si>
    <t>바벨로우 10회 - 성인 여자</t>
    <phoneticPr fontId="2" type="noConversion"/>
  </si>
  <si>
    <t>바벨로우 - 체중비례(여자)</t>
    <phoneticPr fontId="2" type="noConversion"/>
  </si>
  <si>
    <t>랫풀다운 10회 - 성인 남자</t>
    <phoneticPr fontId="2" type="noConversion"/>
  </si>
  <si>
    <t>랫풀다운- 체중비례(남자)</t>
    <phoneticPr fontId="2" type="noConversion"/>
  </si>
  <si>
    <t>랫풀다운 10회 - 성인 여자</t>
    <phoneticPr fontId="2" type="noConversion"/>
  </si>
  <si>
    <t>랫풀다운 - 체중비례(여자)</t>
    <phoneticPr fontId="2" type="noConversion"/>
  </si>
  <si>
    <t>레그프레스45도 10회 - 성인 남자</t>
    <phoneticPr fontId="2" type="noConversion"/>
  </si>
  <si>
    <t>레그프레스45도- 체중비례(남자)</t>
    <phoneticPr fontId="2" type="noConversion"/>
  </si>
  <si>
    <t>레그프레스45도 10회 - 성인 여자</t>
    <phoneticPr fontId="2" type="noConversion"/>
  </si>
  <si>
    <t>레그프레스45도 - 체중비례(여자)</t>
    <phoneticPr fontId="2" type="noConversion"/>
  </si>
  <si>
    <t>카프레이즈 10회 - 성인 남자</t>
    <phoneticPr fontId="2" type="noConversion"/>
  </si>
  <si>
    <t>카프레이즈- 체중비례(남자)</t>
    <phoneticPr fontId="2" type="noConversion"/>
  </si>
  <si>
    <t>카프레이즈 10회 - 성인 여자</t>
    <phoneticPr fontId="2" type="noConversion"/>
  </si>
  <si>
    <t>카프레이즈 - 체중비례(여자)</t>
    <phoneticPr fontId="2" type="noConversion"/>
  </si>
  <si>
    <t>플랭크 - 성인 남자</t>
    <phoneticPr fontId="2" type="noConversion"/>
  </si>
  <si>
    <t>플랭크 - 성인 여자</t>
    <phoneticPr fontId="2" type="noConversion"/>
  </si>
  <si>
    <t>플랭크- 체중비례(남자)</t>
    <phoneticPr fontId="2" type="noConversion"/>
  </si>
  <si>
    <t>플랭크 - 체중비례(여자)</t>
    <phoneticPr fontId="2" type="noConversion"/>
  </si>
  <si>
    <t>1회하는데 빠르면 2.5초, 나는3초, 골드면 4초</t>
    <phoneticPr fontId="2" type="noConversion"/>
  </si>
  <si>
    <t>윗몸일으키기 - 성인 남자</t>
    <phoneticPr fontId="2" type="noConversion"/>
  </si>
  <si>
    <t>윗몸일으키기- 체중비례(남자)</t>
    <phoneticPr fontId="2" type="noConversion"/>
  </si>
  <si>
    <t>윗몸일으키기 - 성인 여자</t>
    <phoneticPr fontId="2" type="noConversion"/>
  </si>
  <si>
    <t>윗몸일으키기 - 체중비례(여자)</t>
    <phoneticPr fontId="2" type="noConversion"/>
  </si>
  <si>
    <t>크런치 - 성인 남자</t>
    <phoneticPr fontId="2" type="noConversion"/>
  </si>
  <si>
    <t>크런치- 체중비례(남자)</t>
    <phoneticPr fontId="2" type="noConversion"/>
  </si>
  <si>
    <t>크런치 - 성인 여자</t>
    <phoneticPr fontId="2" type="noConversion"/>
  </si>
  <si>
    <t>크런치 - 체중비례(여자)</t>
    <phoneticPr fontId="2" type="noConversion"/>
  </si>
  <si>
    <t>바이시클메뉴버 - 성인 남자</t>
    <phoneticPr fontId="2" type="noConversion"/>
  </si>
  <si>
    <t>바이시클메뉴버- 체중비례(남자)</t>
    <phoneticPr fontId="2" type="noConversion"/>
  </si>
  <si>
    <t>바이시클메뉴버 - 성인 여자</t>
    <phoneticPr fontId="2" type="noConversion"/>
  </si>
  <si>
    <t>바이시클메뉴버 - 체중비례(여자)</t>
    <phoneticPr fontId="2" type="noConversion"/>
  </si>
  <si>
    <t>좌우한세트가 1회. 30회하는데 20초</t>
    <phoneticPr fontId="2" type="noConversion"/>
  </si>
  <si>
    <t>딥스 - 성인 남자</t>
    <phoneticPr fontId="2" type="noConversion"/>
  </si>
  <si>
    <t>딥스- 체중비례(남자)</t>
    <phoneticPr fontId="2" type="noConversion"/>
  </si>
  <si>
    <t>딥스 - 성인 여자</t>
    <phoneticPr fontId="2" type="noConversion"/>
  </si>
  <si>
    <t>딥스 - 체중비례(여자)</t>
    <phoneticPr fontId="2" type="noConversion"/>
  </si>
  <si>
    <t>버핏테스트 - 성인 남자</t>
    <phoneticPr fontId="2" type="noConversion"/>
  </si>
  <si>
    <t>버핏테스트- 체중비례(남자)</t>
    <phoneticPr fontId="2" type="noConversion"/>
  </si>
  <si>
    <t>버핏테스트 - 성인 여자</t>
    <phoneticPr fontId="2" type="noConversion"/>
  </si>
  <si>
    <t>버핏테스트 - 체중비례(여자)</t>
    <phoneticPr fontId="2" type="noConversion"/>
  </si>
  <si>
    <t>2분안에 하는 횟수</t>
  </si>
  <si>
    <t>무게스쿼트 10회 - 성인 남자</t>
    <phoneticPr fontId="2" type="noConversion"/>
  </si>
  <si>
    <t>무게스쿼트 - 체중비례(남자)</t>
    <phoneticPr fontId="2" type="noConversion"/>
  </si>
  <si>
    <t>무게스쿼트 10회 - 성인 여자</t>
    <phoneticPr fontId="2" type="noConversion"/>
  </si>
  <si>
    <t>무게스쿼트 - 체중비례(여자)</t>
    <phoneticPr fontId="2" type="noConversion"/>
  </si>
  <si>
    <t>무게런지 10회 - 성인 남자</t>
    <phoneticPr fontId="2" type="noConversion"/>
  </si>
  <si>
    <t>무게런지- 체중비례(남자)</t>
    <phoneticPr fontId="2" type="noConversion"/>
  </si>
  <si>
    <t>무게런지 10회 - 성인 여자</t>
    <phoneticPr fontId="2" type="noConversion"/>
  </si>
  <si>
    <t>무게런지 - 체중비례(여자)</t>
    <phoneticPr fontId="2" type="noConversion"/>
  </si>
  <si>
    <t>점프런지 10회 - 성인 남자</t>
    <phoneticPr fontId="2" type="noConversion"/>
  </si>
  <si>
    <t>점프런지- 체중비례(남자)</t>
    <phoneticPr fontId="2" type="noConversion"/>
  </si>
  <si>
    <t>점프런지 10회 - 성인 여자</t>
    <phoneticPr fontId="2" type="noConversion"/>
  </si>
  <si>
    <t>점프런지 - 체중비례(여자)</t>
    <phoneticPr fontId="2" type="noConversion"/>
  </si>
  <si>
    <t>여자는 나누기2가아니라 나누기1.7</t>
    <phoneticPr fontId="2" type="noConversion"/>
  </si>
  <si>
    <t xml:space="preserve"> 맨몸운동들은 남자70kg, 여자56kg대가 최고고 벌어질수록 5%씩 감소.</t>
    <phoneticPr fontId="2" type="noConversion"/>
  </si>
  <si>
    <t>버핏테스트는 2분에 하는 횟수 (초).</t>
  </si>
  <si>
    <t>윗몸일으키기 2분에 하는 횟수 (초).</t>
  </si>
  <si>
    <t>2분동안 2초씩 견디기(횟수).</t>
  </si>
  <si>
    <t>내가 해보니 50회에 근육통</t>
    <phoneticPr fontId="2" type="noConversion"/>
  </si>
  <si>
    <t>. 맨몸운동들은 남자70kg, 여자56kg대가 최고고 벌어질수록 5%씩 감소.</t>
    <phoneticPr fontId="2" type="noConversion"/>
  </si>
  <si>
    <t>딥스는 2분동안 횟수.</t>
  </si>
  <si>
    <t>(횟수)</t>
    <phoneticPr fontId="2" type="noConversion"/>
  </si>
  <si>
    <t>맨몸스쿼트 10회 - 성인 남자</t>
    <phoneticPr fontId="2" type="noConversion"/>
  </si>
  <si>
    <t>맨몸스쿼트 - 체중비례(남자)</t>
    <phoneticPr fontId="2" type="noConversion"/>
  </si>
  <si>
    <t>맨몸스쿼트 10회 - 성인 여자</t>
    <phoneticPr fontId="2" type="noConversion"/>
  </si>
  <si>
    <t>맨몸스쿼트 - 체중비례(여자)</t>
    <phoneticPr fontId="2" type="noConversion"/>
  </si>
  <si>
    <t>2분동안 횟수</t>
    <phoneticPr fontId="2" type="noConversion"/>
  </si>
  <si>
    <t>플랭크는 견디는 시간 (초).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</si>
</sst>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rgb="FF00B050"/>
      <name val="맑은 고딕"/>
      <family val="2"/>
      <charset val="129"/>
      <scheme val="minor"/>
    </font>
    <font>
      <sz val="16"/>
      <color rgb="FF00B05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3" borderId="0" xfId="1" applyFill="1">
      <alignment vertical="center"/>
    </xf>
    <xf numFmtId="0" fontId="1" fillId="4" borderId="0" xfId="1" applyFill="1">
      <alignment vertical="center"/>
    </xf>
    <xf numFmtId="0" fontId="1" fillId="0" borderId="0" xfId="1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7" fillId="0" borderId="0" xfId="0" applyFont="1">
      <alignment vertical="center"/>
    </xf>
    <xf numFmtId="1" fontId="0" fillId="0" borderId="0" xfId="0" applyNumberFormat="1">
      <alignment vertical="center"/>
    </xf>
    <xf numFmtId="1" fontId="7" fillId="0" borderId="0" xfId="0" applyNumberFormat="1" applyFont="1">
      <alignment vertical="center"/>
    </xf>
    <xf numFmtId="1" fontId="8" fillId="0" borderId="0" xfId="0" applyNumberFormat="1" applyFont="1">
      <alignment vertical="center"/>
    </xf>
    <xf numFmtId="0" fontId="0" fillId="5" borderId="0" xfId="0" applyFill="1">
      <alignment vertical="center"/>
    </xf>
    <xf numFmtId="0" fontId="8" fillId="5" borderId="0" xfId="0" applyFont="1" applyFill="1">
      <alignment vertical="center"/>
    </xf>
    <xf numFmtId="0" fontId="7" fillId="5" borderId="0" xfId="0" applyFont="1" applyFill="1">
      <alignment vertical="center"/>
    </xf>
    <xf numFmtId="1" fontId="0" fillId="5" borderId="0" xfId="0" applyNumberFormat="1" applyFill="1">
      <alignment vertical="center"/>
    </xf>
    <xf numFmtId="1" fontId="7" fillId="5" borderId="0" xfId="0" applyNumberFormat="1" applyFont="1" applyFill="1">
      <alignment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강조색1" xfId="1" builtinId="29"/>
    <cellStyle name="표준" xfId="0" builtinId="0"/>
  </cellStyles>
  <dxfs count="35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4"/>
        </patternFill>
      </fill>
    </dxf>
    <dxf>
      <numFmt numFmtId="0" formatCode="General"/>
    </dxf>
    <dxf>
      <numFmt numFmtId="0" formatCode="General"/>
    </dxf>
    <dxf>
      <numFmt numFmtId="176" formatCode="0_);[Red]\(0\)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4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표2" displayName="표2" ref="A12:H23" totalsRowShown="0">
  <autoFilter ref="A12:H23"/>
  <tableColumns count="8">
    <tableColumn id="1" name="체중  레벨" dataDxfId="355" dataCellStyle="강조색1"/>
    <tableColumn id="2" name="브론즈"/>
    <tableColumn id="3" name="실버"/>
    <tableColumn id="4" name="골드"/>
    <tableColumn id="5" name="플래티넘"/>
    <tableColumn id="6" name="다이아몬드"/>
    <tableColumn id="7" name="마스터"/>
    <tableColumn id="8" name="챌린저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표5" displayName="표5" ref="K12:Q23" totalsRowShown="0">
  <autoFilter ref="K12:Q23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표2_7" displayName="표2_7" ref="A27:H38" totalsRowShown="0">
  <autoFilter ref="A27:H38"/>
  <tableColumns count="8">
    <tableColumn id="1" name="체중  레벨" dataCellStyle="강조색1"/>
    <tableColumn id="2" name="브론즈"/>
    <tableColumn id="3" name="실버" dataDxfId="354">
      <calculatedColumnFormula>(표2_7[[#This Row],[브론즈]]*1.16)/1.25</calculatedColumnFormula>
    </tableColumn>
    <tableColumn id="4" name="골드"/>
    <tableColumn id="5" name="플래티넘" dataDxfId="353">
      <calculatedColumnFormula>(표2_7[[#This Row],[골드]]*1.1)/1.25</calculatedColumnFormula>
    </tableColumn>
    <tableColumn id="6" name="다이아몬드"/>
    <tableColumn id="7" name="마스터"/>
    <tableColumn id="8" name="챌린저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7" name="표5_8" displayName="표5_8" ref="K27:Q38" totalsRowShown="0">
  <autoFilter ref="K27:Q38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12" name="표2_13" displayName="표2_13" ref="A5:H16" totalsRowShown="0">
  <autoFilter ref="A5:H16"/>
  <tableColumns count="8">
    <tableColumn id="1" name="체중  레벨" dataDxfId="352" dataCellStyle="강조색1"/>
    <tableColumn id="2" name="브론즈"/>
    <tableColumn id="3" name="실버" dataDxfId="351"/>
    <tableColumn id="4" name="골드"/>
    <tableColumn id="5" name="플래티넘" dataDxfId="350"/>
    <tableColumn id="6" name="다이아몬드"/>
    <tableColumn id="7" name="마스터"/>
    <tableColumn id="8" name="챌린저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13" name="표5_14" displayName="표5_14" ref="K5:Q16" totalsRowShown="0">
  <autoFilter ref="K5:Q16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4" name="표2_715" displayName="표2_715" ref="A20:H31" totalsRowShown="0">
  <autoFilter ref="A20:H31"/>
  <tableColumns count="8">
    <tableColumn id="1" name="체중  레벨" dataCellStyle="강조색1"/>
    <tableColumn id="2" name="브론즈"/>
    <tableColumn id="3" name="실버" dataDxfId="349">
      <calculatedColumnFormula>(표2_715[[#This Row],[브론즈]]*1.16)/1.25</calculatedColumnFormula>
    </tableColumn>
    <tableColumn id="4" name="골드"/>
    <tableColumn id="5" name="플래티넘" dataDxfId="348">
      <calculatedColumnFormula>(표2_715[[#This Row],[골드]]*1.1)/1.25</calculatedColumnFormula>
    </tableColumn>
    <tableColumn id="6" name="다이아몬드"/>
    <tableColumn id="7" name="마스터"/>
    <tableColumn id="8" name="챌린저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id="15" name="표5_816" displayName="표5_816" ref="K20:Q31" totalsRowShown="0">
  <autoFilter ref="K20:Q31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id="101" name="표2_1317102" displayName="표2_1317102" ref="A4:H15" totalsRowShown="0">
  <autoFilter ref="A4:H15"/>
  <tableColumns count="8">
    <tableColumn id="1" name="체중  레벨" dataDxfId="347" dataCellStyle="강조색1"/>
    <tableColumn id="2" name="브론즈"/>
    <tableColumn id="3" name="실버" dataDxfId="346"/>
    <tableColumn id="4" name="골드"/>
    <tableColumn id="5" name="플래티넘" dataDxfId="345"/>
    <tableColumn id="6" name="다이아몬드"/>
    <tableColumn id="7" name="마스터"/>
    <tableColumn id="8" name="챌린저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2" name="표5_1418103" displayName="표5_1418103" ref="K4:Q15" totalsRowShown="0">
  <autoFilter ref="K4:Q15"/>
  <tableColumns count="7">
    <tableColumn id="1" name="브론즈">
      <calculatedColumnFormula>B5/$A5</calculatedColumnFormula>
    </tableColumn>
    <tableColumn id="2" name="실버">
      <calculatedColumnFormula>C5/$A5</calculatedColumnFormula>
    </tableColumn>
    <tableColumn id="3" name="골드">
      <calculatedColumnFormula>D5/$A5</calculatedColumnFormula>
    </tableColumn>
    <tableColumn id="4" name="플래티넘">
      <calculatedColumnFormula>E5/$A5</calculatedColumnFormula>
    </tableColumn>
    <tableColumn id="5" name="다이아몬드">
      <calculatedColumnFormula>F5/$A5</calculatedColumnFormula>
    </tableColumn>
    <tableColumn id="6" name="마스터">
      <calculatedColumnFormula>G5/$A5</calculatedColumnFormula>
    </tableColumn>
    <tableColumn id="7" name="챌린저">
      <calculatedColumnFormula>H5/$A5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07" name="표2_71519108" displayName="표2_71519108" ref="A18:H29" totalsRowShown="0">
  <autoFilter ref="A18:H29"/>
  <tableColumns count="8">
    <tableColumn id="1" name="체중  레벨" dataCellStyle="강조색1"/>
    <tableColumn id="2" name="브론즈"/>
    <tableColumn id="3" name="실버" dataDxfId="344">
      <calculatedColumnFormula>(표2_71519108[[#This Row],[브론즈]]*1.16)/1.25</calculatedColumnFormula>
    </tableColumn>
    <tableColumn id="4" name="골드"/>
    <tableColumn id="5" name="플래티넘" dataDxfId="343">
      <calculatedColumnFormula>(표2_71519108[[#This Row],[골드]]*1.1)/1.25</calculatedColumnFormula>
    </tableColumn>
    <tableColumn id="6" name="다이아몬드"/>
    <tableColumn id="7" name="마스터"/>
    <tableColumn id="8" name="챌린저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id="108" name="표5_81620109" displayName="표5_81620109" ref="K18:Q29" totalsRowShown="0">
  <autoFilter ref="K18:Q29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13.xml><?xml version="1.0" encoding="utf-8"?>
<table xmlns="http://schemas.openxmlformats.org/spreadsheetml/2006/main" id="20" name="표2_1321" displayName="표2_1321" ref="A2:H13" totalsRowShown="0">
  <autoFilter ref="A2:H13"/>
  <tableColumns count="8">
    <tableColumn id="1" name="체중  레벨" dataDxfId="342" dataCellStyle="강조색1"/>
    <tableColumn id="2" name="브론즈"/>
    <tableColumn id="3" name="실버" dataDxfId="341"/>
    <tableColumn id="4" name="골드"/>
    <tableColumn id="5" name="플래티넘" dataDxfId="340"/>
    <tableColumn id="6" name="다이아몬드"/>
    <tableColumn id="7" name="마스터"/>
    <tableColumn id="8" name="챌린저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1" name="표5_1422" displayName="표5_1422" ref="K2:Q13" totalsRowShown="0">
  <autoFilter ref="K2:Q13"/>
  <tableColumns count="7">
    <tableColumn id="1" name="브론즈">
      <calculatedColumnFormula>B8/$A3</calculatedColumnFormula>
    </tableColumn>
    <tableColumn id="2" name="실버">
      <calculatedColumnFormula>C8/$A3</calculatedColumnFormula>
    </tableColumn>
    <tableColumn id="3" name="골드">
      <calculatedColumnFormula>D8/$A3</calculatedColumnFormula>
    </tableColumn>
    <tableColumn id="4" name="플래티넘">
      <calculatedColumnFormula>E8/$A3</calculatedColumnFormula>
    </tableColumn>
    <tableColumn id="5" name="다이아몬드">
      <calculatedColumnFormula>F8/$A3</calculatedColumnFormula>
    </tableColumn>
    <tableColumn id="6" name="마스터">
      <calculatedColumnFormula>G8/$A3</calculatedColumnFormula>
    </tableColumn>
    <tableColumn id="7" name="챌린저">
      <calculatedColumnFormula>H8/$A3</calculatedColumnFormula>
    </tableColumn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2" name="표2_71523" displayName="표2_71523" ref="A16:H27" totalsRowShown="0">
  <autoFilter ref="A16:H27"/>
  <tableColumns count="8">
    <tableColumn id="1" name="체중  레벨" dataCellStyle="강조색1"/>
    <tableColumn id="2" name="브론즈" dataDxfId="339">
      <calculatedColumnFormula>B3/4</calculatedColumnFormula>
    </tableColumn>
    <tableColumn id="3" name="실버" dataDxfId="338"/>
    <tableColumn id="4" name="골드"/>
    <tableColumn id="5" name="플래티넘" dataDxfId="337"/>
    <tableColumn id="6" name="다이아몬드"/>
    <tableColumn id="7" name="마스터"/>
    <tableColumn id="8" name="챌린저"/>
  </tableColumns>
  <tableStyleInfo name="TableStyleLight10" showFirstColumn="0" showLastColumn="0" showRowStripes="1" showColumnStripes="0"/>
</table>
</file>

<file path=xl/tables/table16.xml><?xml version="1.0" encoding="utf-8"?>
<table xmlns="http://schemas.openxmlformats.org/spreadsheetml/2006/main" id="23" name="표5_81624" displayName="표5_81624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17.xml><?xml version="1.0" encoding="utf-8"?>
<table xmlns="http://schemas.openxmlformats.org/spreadsheetml/2006/main" id="24" name="표2_132125" displayName="표2_132125" ref="A2:H13" totalsRowShown="0">
  <autoFilter ref="A2:H13"/>
  <tableColumns count="8">
    <tableColumn id="1" name="체중  레벨" dataDxfId="336" dataCellStyle="강조색1"/>
    <tableColumn id="2" name="브론즈"/>
    <tableColumn id="3" name="실버" dataDxfId="335"/>
    <tableColumn id="4" name="골드"/>
    <tableColumn id="5" name="플래티넘" dataDxfId="334"/>
    <tableColumn id="6" name="다이아몬드"/>
    <tableColumn id="7" name="마스터"/>
    <tableColumn id="8" name="챌린저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5" name="표5_142226" displayName="표5_142226" ref="J2:P13" totalsRowShown="0">
  <autoFilter ref="J2:P13"/>
  <tableColumns count="7">
    <tableColumn id="1" name="브론즈">
      <calculatedColumnFormula>B8/$A3</calculatedColumnFormula>
    </tableColumn>
    <tableColumn id="2" name="실버">
      <calculatedColumnFormula>C8/$A3</calculatedColumnFormula>
    </tableColumn>
    <tableColumn id="3" name="골드">
      <calculatedColumnFormula>D8/$A3</calculatedColumnFormula>
    </tableColumn>
    <tableColumn id="4" name="플래티넘">
      <calculatedColumnFormula>E8/$A3</calculatedColumnFormula>
    </tableColumn>
    <tableColumn id="5" name="다이아몬드">
      <calculatedColumnFormula>F8/$A3</calculatedColumnFormula>
    </tableColumn>
    <tableColumn id="6" name="마스터">
      <calculatedColumnFormula>G8/$A3</calculatedColumnFormula>
    </tableColumn>
    <tableColumn id="7" name="챌린저">
      <calculatedColumnFormula>H8/$A3</calculatedColumnFormula>
    </tableColumn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6" name="표2_7152327" displayName="표2_7152327" ref="A16:H27" totalsRowShown="0">
  <autoFilter ref="A16:H27"/>
  <tableColumns count="8">
    <tableColumn id="1" name="체중  레벨" dataCellStyle="강조색1"/>
    <tableColumn id="2" name="브론즈" dataDxfId="333">
      <calculatedColumnFormula>(B3/4)-4</calculatedColumnFormula>
    </tableColumn>
    <tableColumn id="3" name="실버" dataDxfId="332"/>
    <tableColumn id="4" name="골드"/>
    <tableColumn id="5" name="플래티넘" dataDxfId="331">
      <calculatedColumnFormula>(E3/4)-4</calculatedColumnFormula>
    </tableColumn>
    <tableColumn id="6" name="다이아몬드" dataDxfId="330">
      <calculatedColumnFormula>(F3/4)-4</calculatedColumnFormula>
    </tableColumn>
    <tableColumn id="7" name="마스터" dataDxfId="329">
      <calculatedColumnFormula>(G3/4)-4</calculatedColumnFormula>
    </tableColumn>
    <tableColumn id="8" name="챌린저" dataDxfId="328">
      <calculatedColumnFormula>(H3/4)-4</calculatedColumnFormula>
    </tableColumn>
  </tableColumns>
  <tableStyleInfo name="TableStyleLight10" showFirstColumn="0" showLastColumn="0" showRowStripes="1" showColumnStripes="0"/>
</table>
</file>

<file path=xl/tables/table20.xml><?xml version="1.0" encoding="utf-8"?>
<table xmlns="http://schemas.openxmlformats.org/spreadsheetml/2006/main" id="27" name="표5_8162428" displayName="표5_8162428" ref="J16:P27" totalsRowShown="0">
  <autoFilter ref="J16:P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21.xml><?xml version="1.0" encoding="utf-8"?>
<table xmlns="http://schemas.openxmlformats.org/spreadsheetml/2006/main" id="1" name="표2_132" displayName="표2_132" ref="A2:H13" totalsRowShown="0">
  <autoFilter ref="A2:H13"/>
  <tableColumns count="8">
    <tableColumn id="1" name="체중  레벨" dataDxfId="327" dataCellStyle="강조색1"/>
    <tableColumn id="2" name="브론즈"/>
    <tableColumn id="3" name="실버" dataDxfId="326"/>
    <tableColumn id="4" name="골드"/>
    <tableColumn id="5" name="플래티넘" dataDxfId="325"/>
    <tableColumn id="6" name="다이아몬드"/>
    <tableColumn id="7" name="마스터"/>
    <tableColumn id="8" name="챌린저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3" name="표5_144" displayName="표5_144" ref="K2:Q13" totalsRowShown="0">
  <autoFilter ref="K2:Q13"/>
  <tableColumns count="7">
    <tableColumn id="1" name="브론즈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4" name="표2_7155" displayName="표2_7155" ref="A16:H27" totalsRowShown="0">
  <autoFilter ref="A16:H27"/>
  <tableColumns count="8">
    <tableColumn id="1" name="체중  레벨" dataCellStyle="강조색1"/>
    <tableColumn id="2" name="브론즈" dataDxfId="324">
      <calculatedColumnFormula>표2_7155[[#This Row],[실버]]-2</calculatedColumnFormula>
    </tableColumn>
    <tableColumn id="3" name="실버" dataDxfId="323">
      <calculatedColumnFormula>(표2_7155[[#This Row],[브론즈]]*1.16)/1.25</calculatedColumnFormula>
    </tableColumn>
    <tableColumn id="4" name="골드" dataDxfId="322">
      <calculatedColumnFormula>(표2_7155[[#This Row],[실버]]+표2_7155[[#This Row],[플래티넘]])/2</calculatedColumnFormula>
    </tableColumn>
    <tableColumn id="5" name="플래티넘" dataDxfId="321">
      <calculatedColumnFormula>(표2_7155[[#This Row],[골드]]*1.1)/1.25</calculatedColumnFormula>
    </tableColumn>
    <tableColumn id="6" name="다이아몬드"/>
    <tableColumn id="7" name="마스터"/>
    <tableColumn id="8" name="챌린저"/>
  </tableColumns>
  <tableStyleInfo name="TableStyleLight10" showFirstColumn="0" showLastColumn="0" showRowStripes="1" showColumnStripes="0"/>
</table>
</file>

<file path=xl/tables/table24.xml><?xml version="1.0" encoding="utf-8"?>
<table xmlns="http://schemas.openxmlformats.org/spreadsheetml/2006/main" id="8" name="표5_8169" displayName="표5_8169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25.xml><?xml version="1.0" encoding="utf-8"?>
<table xmlns="http://schemas.openxmlformats.org/spreadsheetml/2006/main" id="41" name="표2_132103042" displayName="표2_132103042" ref="A2:H13" totalsRowShown="0">
  <autoFilter ref="A2:H13"/>
  <tableColumns count="8">
    <tableColumn id="1" name="체중  레벨" dataDxfId="320" dataCellStyle="강조색1"/>
    <tableColumn id="2" name="브론즈" dataDxfId="319"/>
    <tableColumn id="3" name="실버" dataDxfId="318"/>
    <tableColumn id="4" name="골드" dataDxfId="317"/>
    <tableColumn id="5" name="플래티넘" dataDxfId="316"/>
    <tableColumn id="6" name="다이아몬드" dataDxfId="315"/>
    <tableColumn id="7" name="마스터" dataDxfId="314"/>
    <tableColumn id="8" name="챌린저" dataDxfId="313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42" name="표5_144113143" displayName="표5_144113143" ref="K2:Q13" totalsRowShown="0">
  <autoFilter ref="K2:Q13"/>
  <tableColumns count="7">
    <tableColumn id="1" name="브론즈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43" name="표2_7155123244" displayName="표2_7155123244" ref="A16:H27" totalsRowShown="0">
  <autoFilter ref="A16:H27"/>
  <tableColumns count="8">
    <tableColumn id="1" name="체중  레벨" dataCellStyle="강조색1"/>
    <tableColumn id="2" name="브론즈" dataDxfId="312">
      <calculatedColumnFormula>B3/2</calculatedColumnFormula>
    </tableColumn>
    <tableColumn id="3" name="실버" dataDxfId="311">
      <calculatedColumnFormula>C3/2</calculatedColumnFormula>
    </tableColumn>
    <tableColumn id="4" name="골드" dataDxfId="310">
      <calculatedColumnFormula>D3/2</calculatedColumnFormula>
    </tableColumn>
    <tableColumn id="5" name="플래티넘" dataDxfId="309">
      <calculatedColumnFormula>E3/2</calculatedColumnFormula>
    </tableColumn>
    <tableColumn id="6" name="다이아몬드" dataDxfId="308">
      <calculatedColumnFormula>F3/2</calculatedColumnFormula>
    </tableColumn>
    <tableColumn id="7" name="마스터" dataDxfId="307">
      <calculatedColumnFormula>G3/2</calculatedColumnFormula>
    </tableColumn>
    <tableColumn id="8" name="챌린저" dataDxfId="306">
      <calculatedColumnFormula>H3/2</calculatedColumnFormula>
    </tableColumn>
  </tableColumns>
  <tableStyleInfo name="TableStyleLight10" showFirstColumn="0" showLastColumn="0" showRowStripes="1" showColumnStripes="0"/>
</table>
</file>

<file path=xl/tables/table28.xml><?xml version="1.0" encoding="utf-8"?>
<table xmlns="http://schemas.openxmlformats.org/spreadsheetml/2006/main" id="44" name="표5_8169293345" displayName="표5_8169293345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29.xml><?xml version="1.0" encoding="utf-8"?>
<table xmlns="http://schemas.openxmlformats.org/spreadsheetml/2006/main" id="9" name="표2_13210" displayName="표2_13210" ref="A2:H13" totalsRowShown="0">
  <autoFilter ref="A2:H13"/>
  <tableColumns count="8">
    <tableColumn id="1" name="체중  레벨" dataDxfId="305" dataCellStyle="강조색1"/>
    <tableColumn id="2" name="브론즈" dataDxfId="304"/>
    <tableColumn id="3" name="실버" dataDxfId="303"/>
    <tableColumn id="4" name="골드" dataDxfId="302"/>
    <tableColumn id="5" name="플래티넘" dataDxfId="301"/>
    <tableColumn id="6" name="다이아몬드" dataDxfId="300"/>
    <tableColumn id="7" name="마스터" dataDxfId="299"/>
    <tableColumn id="8" name="챌린저" dataDxfId="298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10" name="표5_14411" displayName="표5_14411" ref="K2:Q13" totalsRowShown="0">
  <autoFilter ref="K2:Q13"/>
  <tableColumns count="7">
    <tableColumn id="1" name="브론즈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11" name="표2_715512" displayName="표2_715512" ref="A16:H27" totalsRowShown="0">
  <autoFilter ref="A16:H27"/>
  <tableColumns count="8">
    <tableColumn id="1" name="체중  레벨" dataCellStyle="강조색1"/>
    <tableColumn id="2" name="브론즈" dataDxfId="297">
      <calculatedColumnFormula>B3/2</calculatedColumnFormula>
    </tableColumn>
    <tableColumn id="3" name="실버" dataDxfId="296">
      <calculatedColumnFormula>C3/2</calculatedColumnFormula>
    </tableColumn>
    <tableColumn id="4" name="골드" dataDxfId="295">
      <calculatedColumnFormula>D3/2</calculatedColumnFormula>
    </tableColumn>
    <tableColumn id="5" name="플래티넘" dataDxfId="294">
      <calculatedColumnFormula>E3/2</calculatedColumnFormula>
    </tableColumn>
    <tableColumn id="6" name="다이아몬드" dataDxfId="293">
      <calculatedColumnFormula>F3/2</calculatedColumnFormula>
    </tableColumn>
    <tableColumn id="7" name="마스터" dataDxfId="292">
      <calculatedColumnFormula>G3/2</calculatedColumnFormula>
    </tableColumn>
    <tableColumn id="8" name="챌린저" dataDxfId="291">
      <calculatedColumnFormula>H3/2</calculatedColumnFormula>
    </tableColumn>
  </tableColumns>
  <tableStyleInfo name="TableStyleLight10" showFirstColumn="0" showLastColumn="0" showRowStripes="1" showColumnStripes="0"/>
</table>
</file>

<file path=xl/tables/table32.xml><?xml version="1.0" encoding="utf-8"?>
<table xmlns="http://schemas.openxmlformats.org/spreadsheetml/2006/main" id="28" name="표5_816929" displayName="표5_816929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33.xml><?xml version="1.0" encoding="utf-8"?>
<table xmlns="http://schemas.openxmlformats.org/spreadsheetml/2006/main" id="29" name="표2_1321030" displayName="표2_1321030" ref="A2:H13" totalsRowShown="0">
  <autoFilter ref="A2:H13"/>
  <tableColumns count="8">
    <tableColumn id="1" name="체중  레벨" dataDxfId="290" dataCellStyle="강조색1"/>
    <tableColumn id="2" name="브론즈" dataDxfId="289"/>
    <tableColumn id="3" name="실버" dataDxfId="288"/>
    <tableColumn id="4" name="골드" dataDxfId="287"/>
    <tableColumn id="5" name="플래티넘" dataDxfId="286"/>
    <tableColumn id="6" name="다이아몬드" dataDxfId="285"/>
    <tableColumn id="7" name="마스터" dataDxfId="284"/>
    <tableColumn id="8" name="챌린저" dataDxfId="283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id="30" name="표5_1441131" displayName="표5_1441131" ref="K2:Q13" totalsRowShown="0">
  <autoFilter ref="K2:Q13"/>
  <tableColumns count="7">
    <tableColumn id="1" name="브론즈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id="31" name="표2_71551232" displayName="표2_71551232" ref="A16:H27" totalsRowShown="0">
  <autoFilter ref="A16:H27"/>
  <tableColumns count="8">
    <tableColumn id="1" name="체중  레벨" dataCellStyle="강조색1"/>
    <tableColumn id="2" name="브론즈" dataDxfId="282">
      <calculatedColumnFormula>B3/2</calculatedColumnFormula>
    </tableColumn>
    <tableColumn id="3" name="실버" dataDxfId="281">
      <calculatedColumnFormula>C3/2</calculatedColumnFormula>
    </tableColumn>
    <tableColumn id="4" name="골드" dataDxfId="280">
      <calculatedColumnFormula>D3/2</calculatedColumnFormula>
    </tableColumn>
    <tableColumn id="5" name="플래티넘" dataDxfId="279">
      <calculatedColumnFormula>E3/2</calculatedColumnFormula>
    </tableColumn>
    <tableColumn id="6" name="다이아몬드" dataDxfId="278">
      <calculatedColumnFormula>F3/2</calculatedColumnFormula>
    </tableColumn>
    <tableColumn id="7" name="마스터" dataDxfId="277">
      <calculatedColumnFormula>G3/2</calculatedColumnFormula>
    </tableColumn>
    <tableColumn id="8" name="챌린저" dataDxfId="276">
      <calculatedColumnFormula>H3/2</calculatedColumnFormula>
    </tableColumn>
  </tableColumns>
  <tableStyleInfo name="TableStyleLight10" showFirstColumn="0" showLastColumn="0" showRowStripes="1" showColumnStripes="0"/>
</table>
</file>

<file path=xl/tables/table36.xml><?xml version="1.0" encoding="utf-8"?>
<table xmlns="http://schemas.openxmlformats.org/spreadsheetml/2006/main" id="32" name="표5_81692933" displayName="표5_81692933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37.xml><?xml version="1.0" encoding="utf-8"?>
<table xmlns="http://schemas.openxmlformats.org/spreadsheetml/2006/main" id="33" name="표2_132103034" displayName="표2_132103034" ref="A2:H13" totalsRowShown="0">
  <autoFilter ref="A2:H13"/>
  <tableColumns count="8">
    <tableColumn id="1" name="체중  레벨" dataDxfId="275" dataCellStyle="강조색1"/>
    <tableColumn id="2" name="브론즈" dataDxfId="274"/>
    <tableColumn id="3" name="실버" dataDxfId="273"/>
    <tableColumn id="4" name="골드" dataDxfId="272"/>
    <tableColumn id="5" name="플래티넘" dataDxfId="271"/>
    <tableColumn id="6" name="다이아몬드" dataDxfId="270"/>
    <tableColumn id="7" name="마스터" dataDxfId="269"/>
    <tableColumn id="8" name="챌린저" dataDxfId="268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id="34" name="표5_144113135" displayName="표5_144113135" ref="K2:Q13" totalsRowShown="0">
  <autoFilter ref="K2:Q13"/>
  <tableColumns count="7">
    <tableColumn id="1" name="브론즈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id="35" name="표2_7155123236" displayName="표2_7155123236" ref="A16:H27" totalsRowShown="0">
  <autoFilter ref="A16:H27"/>
  <tableColumns count="8">
    <tableColumn id="1" name="체중  레벨" dataCellStyle="강조색1"/>
    <tableColumn id="2" name="브론즈" dataDxfId="267">
      <calculatedColumnFormula>B3/2</calculatedColumnFormula>
    </tableColumn>
    <tableColumn id="3" name="실버" dataDxfId="266">
      <calculatedColumnFormula>C3/2</calculatedColumnFormula>
    </tableColumn>
    <tableColumn id="4" name="골드" dataDxfId="265">
      <calculatedColumnFormula>D3/2</calculatedColumnFormula>
    </tableColumn>
    <tableColumn id="5" name="플래티넘" dataDxfId="264">
      <calculatedColumnFormula>E3/2</calculatedColumnFormula>
    </tableColumn>
    <tableColumn id="6" name="다이아몬드" dataDxfId="263">
      <calculatedColumnFormula>F3/2</calculatedColumnFormula>
    </tableColumn>
    <tableColumn id="7" name="마스터" dataDxfId="262">
      <calculatedColumnFormula>G3/2</calculatedColumnFormula>
    </tableColumn>
    <tableColumn id="8" name="챌린저" dataDxfId="261">
      <calculatedColumnFormula>H3/2</calculatedColumnFormula>
    </tableColumn>
  </tableColumns>
  <tableStyleInfo name="TableStyleLight10" showFirstColumn="0" showLastColumn="0" showRowStripes="1" showColumnStripes="0"/>
</table>
</file>

<file path=xl/tables/table40.xml><?xml version="1.0" encoding="utf-8"?>
<table xmlns="http://schemas.openxmlformats.org/spreadsheetml/2006/main" id="36" name="표5_8169293337" displayName="표5_8169293337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41.xml><?xml version="1.0" encoding="utf-8"?>
<table xmlns="http://schemas.openxmlformats.org/spreadsheetml/2006/main" id="45" name="표2_13210303446" displayName="표2_13210303446" ref="A2:H13" totalsRowShown="0">
  <autoFilter ref="A2:H13"/>
  <tableColumns count="8">
    <tableColumn id="1" name="체중  레벨" dataDxfId="260" dataCellStyle="강조색1"/>
    <tableColumn id="2" name="브론즈" dataDxfId="259"/>
    <tableColumn id="3" name="실버" dataDxfId="258"/>
    <tableColumn id="4" name="골드" dataDxfId="257"/>
    <tableColumn id="5" name="플래티넘" dataDxfId="256"/>
    <tableColumn id="6" name="다이아몬드" dataDxfId="255"/>
    <tableColumn id="7" name="마스터" dataDxfId="254"/>
    <tableColumn id="8" name="챌린저" dataDxfId="253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id="46" name="표5_14411313547" displayName="표5_14411313547" ref="K2:Q13" totalsRowShown="0">
  <autoFilter ref="K2:Q13"/>
  <tableColumns count="7">
    <tableColumn id="1" name="브론즈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id="47" name="표2_715512323648" displayName="표2_715512323648" ref="A16:H27" totalsRowShown="0">
  <autoFilter ref="A16:H27"/>
  <tableColumns count="8">
    <tableColumn id="1" name="체중  레벨" dataCellStyle="강조색1"/>
    <tableColumn id="2" name="브론즈" dataDxfId="252">
      <calculatedColumnFormula>B3/2</calculatedColumnFormula>
    </tableColumn>
    <tableColumn id="3" name="실버" dataDxfId="251">
      <calculatedColumnFormula>C3/2</calculatedColumnFormula>
    </tableColumn>
    <tableColumn id="4" name="골드" dataDxfId="250">
      <calculatedColumnFormula>D3/2</calculatedColumnFormula>
    </tableColumn>
    <tableColumn id="5" name="플래티넘" dataDxfId="249">
      <calculatedColumnFormula>E3/2</calculatedColumnFormula>
    </tableColumn>
    <tableColumn id="6" name="다이아몬드" dataDxfId="248">
      <calculatedColumnFormula>F3/2</calculatedColumnFormula>
    </tableColumn>
    <tableColumn id="7" name="마스터" dataDxfId="247">
      <calculatedColumnFormula>G3/2</calculatedColumnFormula>
    </tableColumn>
    <tableColumn id="8" name="챌린저" dataDxfId="246">
      <calculatedColumnFormula>H3/2</calculatedColumnFormula>
    </tableColumn>
  </tableColumns>
  <tableStyleInfo name="TableStyleLight10" showFirstColumn="0" showLastColumn="0" showRowStripes="1" showColumnStripes="0"/>
</table>
</file>

<file path=xl/tables/table44.xml><?xml version="1.0" encoding="utf-8"?>
<table xmlns="http://schemas.openxmlformats.org/spreadsheetml/2006/main" id="48" name="표5_816929333749" displayName="표5_816929333749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45.xml><?xml version="1.0" encoding="utf-8"?>
<table xmlns="http://schemas.openxmlformats.org/spreadsheetml/2006/main" id="49" name="표2_1321030344650" displayName="표2_1321030344650" ref="A2:H13" totalsRowShown="0">
  <autoFilter ref="A2:H13"/>
  <tableColumns count="8">
    <tableColumn id="1" name="체중  레벨" dataDxfId="245" dataCellStyle="강조색1"/>
    <tableColumn id="2" name="브론즈" dataDxfId="244"/>
    <tableColumn id="3" name="실버" dataDxfId="243"/>
    <tableColumn id="4" name="골드" dataDxfId="242"/>
    <tableColumn id="5" name="플래티넘" dataDxfId="241"/>
    <tableColumn id="6" name="다이아몬드" dataDxfId="240"/>
    <tableColumn id="7" name="마스터" dataDxfId="239"/>
    <tableColumn id="8" name="챌린저" dataDxfId="238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id="50" name="표5_1441131354751" displayName="표5_1441131354751" ref="K2:Q13" totalsRowShown="0">
  <autoFilter ref="K2:Q13"/>
  <tableColumns count="7">
    <tableColumn id="1" name="브론즈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47.xml><?xml version="1.0" encoding="utf-8"?>
<table xmlns="http://schemas.openxmlformats.org/spreadsheetml/2006/main" id="51" name="표2_71551232364852" displayName="표2_71551232364852" ref="A16:H27" totalsRowShown="0">
  <autoFilter ref="A16:H27"/>
  <tableColumns count="8">
    <tableColumn id="1" name="체중  레벨" dataCellStyle="강조색1"/>
    <tableColumn id="2" name="브론즈" dataDxfId="237">
      <calculatedColumnFormula>B3/2</calculatedColumnFormula>
    </tableColumn>
    <tableColumn id="3" name="실버" dataDxfId="236">
      <calculatedColumnFormula>C3/2</calculatedColumnFormula>
    </tableColumn>
    <tableColumn id="4" name="골드" dataDxfId="235">
      <calculatedColumnFormula>D3/2</calculatedColumnFormula>
    </tableColumn>
    <tableColumn id="5" name="플래티넘" dataDxfId="234">
      <calculatedColumnFormula>E3/2</calculatedColumnFormula>
    </tableColumn>
    <tableColumn id="6" name="다이아몬드" dataDxfId="233">
      <calculatedColumnFormula>F3/2</calculatedColumnFormula>
    </tableColumn>
    <tableColumn id="7" name="마스터" dataDxfId="232">
      <calculatedColumnFormula>G3/2</calculatedColumnFormula>
    </tableColumn>
    <tableColumn id="8" name="챌린저" dataDxfId="231">
      <calculatedColumnFormula>H3/2</calculatedColumnFormula>
    </tableColumn>
  </tableColumns>
  <tableStyleInfo name="TableStyleLight10" showFirstColumn="0" showLastColumn="0" showRowStripes="1" showColumnStripes="0"/>
</table>
</file>

<file path=xl/tables/table48.xml><?xml version="1.0" encoding="utf-8"?>
<table xmlns="http://schemas.openxmlformats.org/spreadsheetml/2006/main" id="52" name="표5_81692933374953" displayName="표5_81692933374953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49.xml><?xml version="1.0" encoding="utf-8"?>
<table xmlns="http://schemas.openxmlformats.org/spreadsheetml/2006/main" id="61" name="표2_1362" displayName="표2_1362" ref="A2:H13" totalsRowShown="0">
  <autoFilter ref="A2:H13"/>
  <tableColumns count="8">
    <tableColumn id="1" name="체중  레벨" dataDxfId="230" dataCellStyle="강조색1"/>
    <tableColumn id="2" name="브론즈" dataDxfId="229"/>
    <tableColumn id="3" name="실버" dataDxfId="228"/>
    <tableColumn id="4" name="골드" dataDxfId="227"/>
    <tableColumn id="5" name="플래티넘" dataDxfId="226"/>
    <tableColumn id="6" name="다이아몬드" dataDxfId="225"/>
    <tableColumn id="7" name="마스터" dataDxfId="224"/>
    <tableColumn id="8" name="챌린저" dataDxfId="223"/>
  </tableColumns>
  <tableStyleInfo name="TableStyleLight9" showFirstColumn="0" showLastColumn="0" showRowStripes="1" showColumnStripes="0"/>
</table>
</file>

<file path=xl/tables/table50.xml><?xml version="1.0" encoding="utf-8"?>
<table xmlns="http://schemas.openxmlformats.org/spreadsheetml/2006/main" id="62" name="표5_1463" displayName="표5_1463" ref="K2:Q13" totalsRowShown="0">
  <autoFilter ref="K2:Q13"/>
  <tableColumns count="7">
    <tableColumn id="1" name="브론즈" dataDxfId="222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51.xml><?xml version="1.0" encoding="utf-8"?>
<table xmlns="http://schemas.openxmlformats.org/spreadsheetml/2006/main" id="63" name="표2_71564" displayName="표2_71564" ref="A16:H27" totalsRowShown="0">
  <autoFilter ref="A16:H27"/>
  <tableColumns count="8">
    <tableColumn id="1" name="체중  레벨" dataCellStyle="강조색1"/>
    <tableColumn id="2" name="브론즈"/>
    <tableColumn id="3" name="실버" dataDxfId="221">
      <calculatedColumnFormula>(표2_71564[[#This Row],[브론즈]]*1.16)/1.25</calculatedColumnFormula>
    </tableColumn>
    <tableColumn id="4" name="골드"/>
    <tableColumn id="5" name="플래티넘" dataDxfId="220">
      <calculatedColumnFormula>(표2_71564[[#This Row],[골드]]*1.1)/1.25</calculatedColumnFormula>
    </tableColumn>
    <tableColumn id="6" name="다이아몬드"/>
    <tableColumn id="7" name="마스터"/>
    <tableColumn id="8" name="챌린저"/>
  </tableColumns>
  <tableStyleInfo name="TableStyleLight10" showFirstColumn="0" showLastColumn="0" showRowStripes="1" showColumnStripes="0"/>
</table>
</file>

<file path=xl/tables/table52.xml><?xml version="1.0" encoding="utf-8"?>
<table xmlns="http://schemas.openxmlformats.org/spreadsheetml/2006/main" id="64" name="표5_81665" displayName="표5_81665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53.xml><?xml version="1.0" encoding="utf-8"?>
<table xmlns="http://schemas.openxmlformats.org/spreadsheetml/2006/main" id="53" name="표2_132103034465054" displayName="표2_132103034465054" ref="A2:H13" totalsRowShown="0">
  <autoFilter ref="A2:H13"/>
  <tableColumns count="8">
    <tableColumn id="1" name="체중  레벨" dataDxfId="219" dataCellStyle="강조색1"/>
    <tableColumn id="2" name="브론즈" dataDxfId="218"/>
    <tableColumn id="3" name="실버" dataDxfId="217"/>
    <tableColumn id="4" name="골드" dataDxfId="216"/>
    <tableColumn id="5" name="플래티넘" dataDxfId="215"/>
    <tableColumn id="6" name="다이아몬드" dataDxfId="214"/>
    <tableColumn id="7" name="마스터" dataDxfId="213"/>
    <tableColumn id="8" name="챌린저" dataDxfId="212"/>
  </tableColumns>
  <tableStyleInfo name="TableStyleLight9" showFirstColumn="0" showLastColumn="0" showRowStripes="1" showColumnStripes="0"/>
</table>
</file>

<file path=xl/tables/table54.xml><?xml version="1.0" encoding="utf-8"?>
<table xmlns="http://schemas.openxmlformats.org/spreadsheetml/2006/main" id="54" name="표5_144113135475155" displayName="표5_144113135475155" ref="K2:Q13" totalsRowShown="0">
  <autoFilter ref="K2:Q13"/>
  <tableColumns count="7">
    <tableColumn id="1" name="브론즈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55.xml><?xml version="1.0" encoding="utf-8"?>
<table xmlns="http://schemas.openxmlformats.org/spreadsheetml/2006/main" id="55" name="표2_7155123236485256" displayName="표2_7155123236485256" ref="A16:H27" totalsRowShown="0">
  <autoFilter ref="A16:H27"/>
  <tableColumns count="8">
    <tableColumn id="1" name="체중  레벨" dataCellStyle="강조색1"/>
    <tableColumn id="2" name="브론즈" dataDxfId="211">
      <calculatedColumnFormula>B3/2</calculatedColumnFormula>
    </tableColumn>
    <tableColumn id="3" name="실버" dataDxfId="210">
      <calculatedColumnFormula>C3/2</calculatedColumnFormula>
    </tableColumn>
    <tableColumn id="4" name="골드" dataDxfId="209">
      <calculatedColumnFormula>D3/2</calculatedColumnFormula>
    </tableColumn>
    <tableColumn id="5" name="플래티넘" dataDxfId="208">
      <calculatedColumnFormula>E3/2</calculatedColumnFormula>
    </tableColumn>
    <tableColumn id="6" name="다이아몬드" dataDxfId="207">
      <calculatedColumnFormula>F3/2</calculatedColumnFormula>
    </tableColumn>
    <tableColumn id="7" name="마스터" dataDxfId="206">
      <calculatedColumnFormula>G3/2</calculatedColumnFormula>
    </tableColumn>
    <tableColumn id="8" name="챌린저" dataDxfId="205">
      <calculatedColumnFormula>H3/2</calculatedColumnFormula>
    </tableColumn>
  </tableColumns>
  <tableStyleInfo name="TableStyleLight10" showFirstColumn="0" showLastColumn="0" showRowStripes="1" showColumnStripes="0"/>
</table>
</file>

<file path=xl/tables/table56.xml><?xml version="1.0" encoding="utf-8"?>
<table xmlns="http://schemas.openxmlformats.org/spreadsheetml/2006/main" id="56" name="표5_8169293337495357" displayName="표5_8169293337495357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57.xml><?xml version="1.0" encoding="utf-8"?>
<table xmlns="http://schemas.openxmlformats.org/spreadsheetml/2006/main" id="57" name="표2_13210303446505458" displayName="표2_13210303446505458" ref="A2:H13" totalsRowShown="0">
  <autoFilter ref="A2:H13"/>
  <tableColumns count="8">
    <tableColumn id="1" name="체중  레벨" dataDxfId="204" dataCellStyle="강조색1"/>
    <tableColumn id="2" name="브론즈" dataDxfId="203"/>
    <tableColumn id="3" name="실버" dataDxfId="202"/>
    <tableColumn id="4" name="골드" dataDxfId="201"/>
    <tableColumn id="5" name="플래티넘" dataDxfId="200"/>
    <tableColumn id="6" name="다이아몬드" dataDxfId="199"/>
    <tableColumn id="7" name="마스터" dataDxfId="198"/>
    <tableColumn id="8" name="챌린저" dataDxfId="197"/>
  </tableColumns>
  <tableStyleInfo name="TableStyleLight9" showFirstColumn="0" showLastColumn="0" showRowStripes="1" showColumnStripes="0"/>
</table>
</file>

<file path=xl/tables/table58.xml><?xml version="1.0" encoding="utf-8"?>
<table xmlns="http://schemas.openxmlformats.org/spreadsheetml/2006/main" id="58" name="표5_14411313547515559" displayName="표5_14411313547515559" ref="K2:Q13" totalsRowShown="0">
  <autoFilter ref="K2:Q13"/>
  <tableColumns count="7">
    <tableColumn id="1" name="브론즈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59.xml><?xml version="1.0" encoding="utf-8"?>
<table xmlns="http://schemas.openxmlformats.org/spreadsheetml/2006/main" id="59" name="표2_715512323648525660" displayName="표2_715512323648525660" ref="A16:H27" totalsRowShown="0">
  <autoFilter ref="A16:H27"/>
  <tableColumns count="8">
    <tableColumn id="1" name="체중  레벨" dataCellStyle="강조색1"/>
    <tableColumn id="2" name="브론즈" dataDxfId="196">
      <calculatedColumnFormula>B3/2</calculatedColumnFormula>
    </tableColumn>
    <tableColumn id="3" name="실버" dataDxfId="195">
      <calculatedColumnFormula>C3/2</calculatedColumnFormula>
    </tableColumn>
    <tableColumn id="4" name="골드" dataDxfId="194">
      <calculatedColumnFormula>D3/2</calculatedColumnFormula>
    </tableColumn>
    <tableColumn id="5" name="플래티넘" dataDxfId="193">
      <calculatedColumnFormula>E3/2</calculatedColumnFormula>
    </tableColumn>
    <tableColumn id="6" name="다이아몬드" dataDxfId="192">
      <calculatedColumnFormula>F3/2</calculatedColumnFormula>
    </tableColumn>
    <tableColumn id="7" name="마스터" dataDxfId="191">
      <calculatedColumnFormula>G3/2</calculatedColumnFormula>
    </tableColumn>
    <tableColumn id="8" name="챌린저" dataDxfId="190">
      <calculatedColumnFormula>H3/2</calculatedColumnFormula>
    </tableColumn>
  </tableColumns>
  <tableStyleInfo name="TableStyleLight10" showFirstColumn="0" showLastColumn="0" showRowStripes="1" showColumnStripes="0"/>
</table>
</file>

<file path=xl/tables/table60.xml><?xml version="1.0" encoding="utf-8"?>
<table xmlns="http://schemas.openxmlformats.org/spreadsheetml/2006/main" id="60" name="표5_816929333749535761" displayName="표5_816929333749535761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61.xml><?xml version="1.0" encoding="utf-8"?>
<table xmlns="http://schemas.openxmlformats.org/spreadsheetml/2006/main" id="65" name="표2_1321030344650545866" displayName="표2_1321030344650545866" ref="A2:H13" totalsRowShown="0">
  <autoFilter ref="A2:H13"/>
  <tableColumns count="8">
    <tableColumn id="1" name="체중  레벨" dataDxfId="189" dataCellStyle="강조색1"/>
    <tableColumn id="2" name="브론즈" dataDxfId="188"/>
    <tableColumn id="3" name="실버" dataDxfId="187"/>
    <tableColumn id="4" name="골드" dataDxfId="186"/>
    <tableColumn id="5" name="플래티넘" dataDxfId="185"/>
    <tableColumn id="6" name="다이아몬드" dataDxfId="184"/>
    <tableColumn id="7" name="마스터" dataDxfId="183"/>
    <tableColumn id="8" name="챌린저" dataDxfId="182"/>
  </tableColumns>
  <tableStyleInfo name="TableStyleLight9" showFirstColumn="0" showLastColumn="0" showRowStripes="1" showColumnStripes="0"/>
</table>
</file>

<file path=xl/tables/table62.xml><?xml version="1.0" encoding="utf-8"?>
<table xmlns="http://schemas.openxmlformats.org/spreadsheetml/2006/main" id="66" name="표5_1441131354751555967" displayName="표5_1441131354751555967" ref="K2:Q13" totalsRowShown="0">
  <autoFilter ref="K2:Q13"/>
  <tableColumns count="7">
    <tableColumn id="1" name="브론즈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63.xml><?xml version="1.0" encoding="utf-8"?>
<table xmlns="http://schemas.openxmlformats.org/spreadsheetml/2006/main" id="67" name="표2_71551232364852566068" displayName="표2_71551232364852566068" ref="A16:H27" totalsRowShown="0">
  <autoFilter ref="A16:H27"/>
  <tableColumns count="8">
    <tableColumn id="1" name="체중  레벨" dataCellStyle="강조색1"/>
    <tableColumn id="2" name="브론즈" dataDxfId="181">
      <calculatedColumnFormula>B3/2</calculatedColumnFormula>
    </tableColumn>
    <tableColumn id="3" name="실버" dataDxfId="180">
      <calculatedColumnFormula>C3/2</calculatedColumnFormula>
    </tableColumn>
    <tableColumn id="4" name="골드" dataDxfId="179">
      <calculatedColumnFormula>D3/2</calculatedColumnFormula>
    </tableColumn>
    <tableColumn id="5" name="플래티넘" dataDxfId="178">
      <calculatedColumnFormula>E3/2</calculatedColumnFormula>
    </tableColumn>
    <tableColumn id="6" name="다이아몬드" dataDxfId="177">
      <calculatedColumnFormula>F3/2</calculatedColumnFormula>
    </tableColumn>
    <tableColumn id="7" name="마스터" dataDxfId="176">
      <calculatedColumnFormula>G3/2</calculatedColumnFormula>
    </tableColumn>
    <tableColumn id="8" name="챌린저" dataDxfId="175">
      <calculatedColumnFormula>H3/2</calculatedColumnFormula>
    </tableColumn>
  </tableColumns>
  <tableStyleInfo name="TableStyleLight10" showFirstColumn="0" showLastColumn="0" showRowStripes="1" showColumnStripes="0"/>
</table>
</file>

<file path=xl/tables/table64.xml><?xml version="1.0" encoding="utf-8"?>
<table xmlns="http://schemas.openxmlformats.org/spreadsheetml/2006/main" id="68" name="표5_81692933374953576169" displayName="표5_81692933374953576169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65.xml><?xml version="1.0" encoding="utf-8"?>
<table xmlns="http://schemas.openxmlformats.org/spreadsheetml/2006/main" id="69" name="표2_132103034465054586670" displayName="표2_132103034465054586670" ref="A2:H13" totalsRowShown="0">
  <autoFilter ref="A2:H13"/>
  <tableColumns count="8">
    <tableColumn id="1" name="체중  레벨" dataDxfId="174" dataCellStyle="강조색1"/>
    <tableColumn id="2" name="브론즈" dataDxfId="173"/>
    <tableColumn id="3" name="실버" dataDxfId="172"/>
    <tableColumn id="4" name="골드" dataDxfId="171"/>
    <tableColumn id="5" name="플래티넘" dataDxfId="170"/>
    <tableColumn id="6" name="다이아몬드" dataDxfId="169"/>
    <tableColumn id="7" name="마스터" dataDxfId="168"/>
    <tableColumn id="8" name="챌린저" dataDxfId="167"/>
  </tableColumns>
  <tableStyleInfo name="TableStyleLight9" showFirstColumn="0" showLastColumn="0" showRowStripes="1" showColumnStripes="0"/>
</table>
</file>

<file path=xl/tables/table66.xml><?xml version="1.0" encoding="utf-8"?>
<table xmlns="http://schemas.openxmlformats.org/spreadsheetml/2006/main" id="70" name="표5_144113135475155596771" displayName="표5_144113135475155596771" ref="K2:Q13" totalsRowShown="0">
  <autoFilter ref="K2:Q13"/>
  <tableColumns count="7">
    <tableColumn id="1" name="브론즈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67.xml><?xml version="1.0" encoding="utf-8"?>
<table xmlns="http://schemas.openxmlformats.org/spreadsheetml/2006/main" id="71" name="표2_7155123236485256606872" displayName="표2_7155123236485256606872" ref="A16:H27" totalsRowShown="0">
  <autoFilter ref="A16:H27"/>
  <tableColumns count="8">
    <tableColumn id="1" name="체중  레벨" dataCellStyle="강조색1"/>
    <tableColumn id="2" name="브론즈" dataDxfId="166">
      <calculatedColumnFormula>B3/2</calculatedColumnFormula>
    </tableColumn>
    <tableColumn id="3" name="실버" dataDxfId="165">
      <calculatedColumnFormula>C3/2</calculatedColumnFormula>
    </tableColumn>
    <tableColumn id="4" name="골드" dataDxfId="164">
      <calculatedColumnFormula>D3/2</calculatedColumnFormula>
    </tableColumn>
    <tableColumn id="5" name="플래티넘" dataDxfId="163">
      <calculatedColumnFormula>E3/2</calculatedColumnFormula>
    </tableColumn>
    <tableColumn id="6" name="다이아몬드" dataDxfId="162">
      <calculatedColumnFormula>F3/2</calculatedColumnFormula>
    </tableColumn>
    <tableColumn id="7" name="마스터" dataDxfId="161">
      <calculatedColumnFormula>G3/2</calculatedColumnFormula>
    </tableColumn>
    <tableColumn id="8" name="챌린저" dataDxfId="160">
      <calculatedColumnFormula>H3/2</calculatedColumnFormula>
    </tableColumn>
  </tableColumns>
  <tableStyleInfo name="TableStyleLight10" showFirstColumn="0" showLastColumn="0" showRowStripes="1" showColumnStripes="0"/>
</table>
</file>

<file path=xl/tables/table68.xml><?xml version="1.0" encoding="utf-8"?>
<table xmlns="http://schemas.openxmlformats.org/spreadsheetml/2006/main" id="72" name="표5_8169293337495357616973" displayName="표5_8169293337495357616973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69.xml><?xml version="1.0" encoding="utf-8"?>
<table xmlns="http://schemas.openxmlformats.org/spreadsheetml/2006/main" id="73" name="표2_132103034465054586674" displayName="표2_132103034465054586674" ref="A2:H13" totalsRowShown="0">
  <autoFilter ref="A2:H13"/>
  <tableColumns count="8">
    <tableColumn id="1" name="체중  레벨" dataDxfId="159" dataCellStyle="강조색1"/>
    <tableColumn id="2" name="브론즈" dataDxfId="158"/>
    <tableColumn id="3" name="실버" dataDxfId="157"/>
    <tableColumn id="4" name="골드" dataDxfId="156"/>
    <tableColumn id="5" name="플래티넘" dataDxfId="155"/>
    <tableColumn id="6" name="다이아몬드" dataDxfId="154"/>
    <tableColumn id="7" name="마스터" dataDxfId="153"/>
    <tableColumn id="8" name="챌린저" dataDxfId="152"/>
  </tableColumns>
  <tableStyleInfo name="TableStyleLight9" showFirstColumn="0" showLastColumn="0" showRowStripes="1" showColumnStripes="0"/>
</table>
</file>

<file path=xl/tables/table70.xml><?xml version="1.0" encoding="utf-8"?>
<table xmlns="http://schemas.openxmlformats.org/spreadsheetml/2006/main" id="74" name="표5_144113135475155596775" displayName="표5_144113135475155596775" ref="K2:Q13" totalsRowShown="0">
  <autoFilter ref="K2:Q13"/>
  <tableColumns count="7">
    <tableColumn id="1" name="브론즈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71.xml><?xml version="1.0" encoding="utf-8"?>
<table xmlns="http://schemas.openxmlformats.org/spreadsheetml/2006/main" id="75" name="표2_7155123236485256606876" displayName="표2_7155123236485256606876" ref="A16:H27" totalsRowShown="0">
  <autoFilter ref="A16:H27"/>
  <tableColumns count="8">
    <tableColumn id="1" name="체중  레벨" dataCellStyle="강조색1"/>
    <tableColumn id="2" name="브론즈" dataDxfId="151">
      <calculatedColumnFormula>B3/2</calculatedColumnFormula>
    </tableColumn>
    <tableColumn id="3" name="실버" dataDxfId="150">
      <calculatedColumnFormula>C3/2</calculatedColumnFormula>
    </tableColumn>
    <tableColumn id="4" name="골드" dataDxfId="149">
      <calculatedColumnFormula>D3/2</calculatedColumnFormula>
    </tableColumn>
    <tableColumn id="5" name="플래티넘" dataDxfId="148">
      <calculatedColumnFormula>E3/2</calculatedColumnFormula>
    </tableColumn>
    <tableColumn id="6" name="다이아몬드" dataDxfId="147">
      <calculatedColumnFormula>F3/2</calculatedColumnFormula>
    </tableColumn>
    <tableColumn id="7" name="마스터" dataDxfId="146">
      <calculatedColumnFormula>G3/2</calculatedColumnFormula>
    </tableColumn>
    <tableColumn id="8" name="챌린저" dataDxfId="145">
      <calculatedColumnFormula>H3/2</calculatedColumnFormula>
    </tableColumn>
  </tableColumns>
  <tableStyleInfo name="TableStyleLight10" showFirstColumn="0" showLastColumn="0" showRowStripes="1" showColumnStripes="0"/>
</table>
</file>

<file path=xl/tables/table72.xml><?xml version="1.0" encoding="utf-8"?>
<table xmlns="http://schemas.openxmlformats.org/spreadsheetml/2006/main" id="76" name="표5_8169293337495357616977" displayName="표5_8169293337495357616977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73.xml><?xml version="1.0" encoding="utf-8"?>
<table xmlns="http://schemas.openxmlformats.org/spreadsheetml/2006/main" id="77" name="표2_13210303446505458667478" displayName="표2_13210303446505458667478" ref="A2:H13" totalsRowShown="0">
  <autoFilter ref="A2:H13"/>
  <tableColumns count="8">
    <tableColumn id="1" name="체중  레벨" dataDxfId="144" dataCellStyle="강조색1"/>
    <tableColumn id="2" name="브론즈" dataDxfId="143"/>
    <tableColumn id="3" name="실버" dataDxfId="142"/>
    <tableColumn id="4" name="골드" dataDxfId="141"/>
    <tableColumn id="5" name="플래티넘" dataDxfId="140"/>
    <tableColumn id="6" name="다이아몬드" dataDxfId="139"/>
    <tableColumn id="7" name="마스터" dataDxfId="138"/>
    <tableColumn id="8" name="챌린저" dataDxfId="137"/>
  </tableColumns>
  <tableStyleInfo name="TableStyleLight9" showFirstColumn="0" showLastColumn="0" showRowStripes="1" showColumnStripes="0"/>
</table>
</file>

<file path=xl/tables/table74.xml><?xml version="1.0" encoding="utf-8"?>
<table xmlns="http://schemas.openxmlformats.org/spreadsheetml/2006/main" id="78" name="표5_14411313547515559677579" displayName="표5_14411313547515559677579" ref="K2:Q13" totalsRowShown="0">
  <autoFilter ref="K2:Q13"/>
  <tableColumns count="7">
    <tableColumn id="1" name="브론즈">
      <calculatedColumnFormula>B3/$A3</calculatedColumnFormula>
    </tableColumn>
    <tableColumn id="2" name="실버">
      <calculatedColumnFormula>C3/$A3</calculatedColumnFormula>
    </tableColumn>
    <tableColumn id="3" name="골드">
      <calculatedColumnFormula>D3/$A3</calculatedColumnFormula>
    </tableColumn>
    <tableColumn id="4" name="플래티넘">
      <calculatedColumnFormula>E3/$A3</calculatedColumnFormula>
    </tableColumn>
    <tableColumn id="5" name="다이아몬드">
      <calculatedColumnFormula>F3/$A3</calculatedColumnFormula>
    </tableColumn>
    <tableColumn id="6" name="마스터">
      <calculatedColumnFormula>G3/$A3</calculatedColumnFormula>
    </tableColumn>
    <tableColumn id="7" name="챌린저">
      <calculatedColumnFormula>H3/$A3</calculatedColumnFormula>
    </tableColumn>
  </tableColumns>
  <tableStyleInfo name="TableStyleLight9" showFirstColumn="0" showLastColumn="0" showRowStripes="1" showColumnStripes="0"/>
</table>
</file>

<file path=xl/tables/table75.xml><?xml version="1.0" encoding="utf-8"?>
<table xmlns="http://schemas.openxmlformats.org/spreadsheetml/2006/main" id="79" name="표2_715512323648525660687680" displayName="표2_715512323648525660687680" ref="A16:H27" totalsRowShown="0">
  <autoFilter ref="A16:H27"/>
  <tableColumns count="8">
    <tableColumn id="1" name="체중  레벨" dataCellStyle="강조색1"/>
    <tableColumn id="2" name="브론즈" dataDxfId="136">
      <calculatedColumnFormula>B3/2</calculatedColumnFormula>
    </tableColumn>
    <tableColumn id="3" name="실버" dataDxfId="135">
      <calculatedColumnFormula>C3/2</calculatedColumnFormula>
    </tableColumn>
    <tableColumn id="4" name="골드" dataDxfId="134">
      <calculatedColumnFormula>D3/2</calculatedColumnFormula>
    </tableColumn>
    <tableColumn id="5" name="플래티넘" dataDxfId="133">
      <calculatedColumnFormula>E3/2</calculatedColumnFormula>
    </tableColumn>
    <tableColumn id="6" name="다이아몬드" dataDxfId="132">
      <calculatedColumnFormula>F3/2</calculatedColumnFormula>
    </tableColumn>
    <tableColumn id="7" name="마스터" dataDxfId="131">
      <calculatedColumnFormula>G3/2</calculatedColumnFormula>
    </tableColumn>
    <tableColumn id="8" name="챌린저" dataDxfId="130">
      <calculatedColumnFormula>H3/2</calculatedColumnFormula>
    </tableColumn>
  </tableColumns>
  <tableStyleInfo name="TableStyleLight10" showFirstColumn="0" showLastColumn="0" showRowStripes="1" showColumnStripes="0"/>
</table>
</file>

<file path=xl/tables/table76.xml><?xml version="1.0" encoding="utf-8"?>
<table xmlns="http://schemas.openxmlformats.org/spreadsheetml/2006/main" id="80" name="표5_816929333749535761697781" displayName="표5_816929333749535761697781" ref="K16:Q27" totalsRowShown="0">
  <autoFilter ref="K16:Q27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77.xml><?xml version="1.0" encoding="utf-8"?>
<table xmlns="http://schemas.openxmlformats.org/spreadsheetml/2006/main" id="85" name="표2_132103034465054586674788286" displayName="표2_132103034465054586674788286" ref="A4:H15" totalsRowShown="0">
  <autoFilter ref="A4:H15"/>
  <tableColumns count="8">
    <tableColumn id="1" name="체중  레벨" dataDxfId="129" dataCellStyle="강조색1"/>
    <tableColumn id="2" name="브론즈" dataDxfId="128"/>
    <tableColumn id="3" name="실버" dataDxfId="127"/>
    <tableColumn id="4" name="골드" dataDxfId="126"/>
    <tableColumn id="5" name="플래티넘" dataDxfId="125"/>
    <tableColumn id="6" name="다이아몬드" dataDxfId="124"/>
    <tableColumn id="7" name="마스터" dataDxfId="123"/>
    <tableColumn id="8" name="챌린저" dataDxfId="122"/>
  </tableColumns>
  <tableStyleInfo name="TableStyleLight9" showFirstColumn="0" showLastColumn="0" showRowStripes="1" showColumnStripes="0"/>
</table>
</file>

<file path=xl/tables/table78.xml><?xml version="1.0" encoding="utf-8"?>
<table xmlns="http://schemas.openxmlformats.org/spreadsheetml/2006/main" id="86" name="표5_144113135475155596775798387" displayName="표5_144113135475155596775798387" ref="K4:Q15" totalsRowShown="0">
  <autoFilter ref="K4:Q15"/>
  <tableColumns count="7">
    <tableColumn id="1" name="브론즈">
      <calculatedColumnFormula>B5/$A5</calculatedColumnFormula>
    </tableColumn>
    <tableColumn id="2" name="실버">
      <calculatedColumnFormula>C5/$A5</calculatedColumnFormula>
    </tableColumn>
    <tableColumn id="3" name="골드">
      <calculatedColumnFormula>D5/$A5</calculatedColumnFormula>
    </tableColumn>
    <tableColumn id="4" name="플래티넘">
      <calculatedColumnFormula>E5/$A5</calculatedColumnFormula>
    </tableColumn>
    <tableColumn id="5" name="다이아몬드">
      <calculatedColumnFormula>F5/$A5</calculatedColumnFormula>
    </tableColumn>
    <tableColumn id="6" name="마스터">
      <calculatedColumnFormula>G5/$A5</calculatedColumnFormula>
    </tableColumn>
    <tableColumn id="7" name="챌린저">
      <calculatedColumnFormula>H5/$A5</calculatedColumnFormula>
    </tableColumn>
  </tableColumns>
  <tableStyleInfo name="TableStyleLight9" showFirstColumn="0" showLastColumn="0" showRowStripes="1" showColumnStripes="0"/>
</table>
</file>

<file path=xl/tables/table79.xml><?xml version="1.0" encoding="utf-8"?>
<table xmlns="http://schemas.openxmlformats.org/spreadsheetml/2006/main" id="87" name="표2_7155123236485256606876808488" displayName="표2_7155123236485256606876808488" ref="A18:H29" totalsRowShown="0">
  <autoFilter ref="A18:H29"/>
  <tableColumns count="8">
    <tableColumn id="1" name="체중  레벨" dataCellStyle="강조색1"/>
    <tableColumn id="2" name="브론즈" dataDxfId="121">
      <calculatedColumnFormula>B5/2</calculatedColumnFormula>
    </tableColumn>
    <tableColumn id="3" name="실버" dataDxfId="120">
      <calculatedColumnFormula>C5/2</calculatedColumnFormula>
    </tableColumn>
    <tableColumn id="4" name="골드" dataDxfId="119">
      <calculatedColumnFormula>D5/2</calculatedColumnFormula>
    </tableColumn>
    <tableColumn id="5" name="플래티넘" dataDxfId="118">
      <calculatedColumnFormula>E5/2</calculatedColumnFormula>
    </tableColumn>
    <tableColumn id="6" name="다이아몬드" dataDxfId="117">
      <calculatedColumnFormula>F5/2</calculatedColumnFormula>
    </tableColumn>
    <tableColumn id="7" name="마스터" dataDxfId="116">
      <calculatedColumnFormula>G5/2</calculatedColumnFormula>
    </tableColumn>
    <tableColumn id="8" name="챌린저" dataDxfId="115">
      <calculatedColumnFormula>H5/2</calculatedColumnFormula>
    </tableColumn>
  </tableColumns>
  <tableStyleInfo name="TableStyleLight10" showFirstColumn="0" showLastColumn="0" showRowStripes="1" showColumnStripes="0"/>
</table>
</file>

<file path=xl/tables/table80.xml><?xml version="1.0" encoding="utf-8"?>
<table xmlns="http://schemas.openxmlformats.org/spreadsheetml/2006/main" id="88" name="표5_8169293337495357616977818589" displayName="표5_8169293337495357616977818589" ref="K18:Q29" totalsRowShown="0">
  <autoFilter ref="K18:Q29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81.xml><?xml version="1.0" encoding="utf-8"?>
<table xmlns="http://schemas.openxmlformats.org/spreadsheetml/2006/main" id="89" name="표2_13210303446505458667478828690" displayName="표2_13210303446505458667478828690" ref="A4:H15" totalsRowShown="0">
  <autoFilter ref="A4:H15"/>
  <tableColumns count="8">
    <tableColumn id="1" name="체중  레벨" dataDxfId="114" dataCellStyle="강조색1"/>
    <tableColumn id="2" name="브론즈" dataDxfId="113"/>
    <tableColumn id="3" name="실버" dataDxfId="112"/>
    <tableColumn id="4" name="골드" dataDxfId="111"/>
    <tableColumn id="5" name="플래티넘" dataDxfId="110"/>
    <tableColumn id="6" name="다이아몬드" dataDxfId="109"/>
    <tableColumn id="7" name="마스터" dataDxfId="108"/>
    <tableColumn id="8" name="챌린저" dataDxfId="107"/>
  </tableColumns>
  <tableStyleInfo name="TableStyleLight9" showFirstColumn="0" showLastColumn="0" showRowStripes="1" showColumnStripes="0"/>
</table>
</file>

<file path=xl/tables/table82.xml><?xml version="1.0" encoding="utf-8"?>
<table xmlns="http://schemas.openxmlformats.org/spreadsheetml/2006/main" id="90" name="표5_14411313547515559677579838791" displayName="표5_14411313547515559677579838791" ref="K4:Q15" totalsRowShown="0">
  <autoFilter ref="K4:Q15"/>
  <tableColumns count="7">
    <tableColumn id="1" name="브론즈">
      <calculatedColumnFormula>B5/$A5</calculatedColumnFormula>
    </tableColumn>
    <tableColumn id="2" name="실버">
      <calculatedColumnFormula>C5/$A5</calculatedColumnFormula>
    </tableColumn>
    <tableColumn id="3" name="골드">
      <calculatedColumnFormula>D5/$A5</calculatedColumnFormula>
    </tableColumn>
    <tableColumn id="4" name="플래티넘">
      <calculatedColumnFormula>E5/$A5</calculatedColumnFormula>
    </tableColumn>
    <tableColumn id="5" name="다이아몬드">
      <calculatedColumnFormula>F5/$A5</calculatedColumnFormula>
    </tableColumn>
    <tableColumn id="6" name="마스터">
      <calculatedColumnFormula>G5/$A5</calculatedColumnFormula>
    </tableColumn>
    <tableColumn id="7" name="챌린저">
      <calculatedColumnFormula>H5/$A5</calculatedColumnFormula>
    </tableColumn>
  </tableColumns>
  <tableStyleInfo name="TableStyleLight9" showFirstColumn="0" showLastColumn="0" showRowStripes="1" showColumnStripes="0"/>
</table>
</file>

<file path=xl/tables/table83.xml><?xml version="1.0" encoding="utf-8"?>
<table xmlns="http://schemas.openxmlformats.org/spreadsheetml/2006/main" id="91" name="표2_715512323648525660687680848892" displayName="표2_715512323648525660687680848892" ref="A18:H29" totalsRowShown="0">
  <autoFilter ref="A18:H29"/>
  <tableColumns count="8">
    <tableColumn id="1" name="체중  레벨" dataCellStyle="강조색1"/>
    <tableColumn id="2" name="브론즈" dataDxfId="106">
      <calculatedColumnFormula>B5/2</calculatedColumnFormula>
    </tableColumn>
    <tableColumn id="3" name="실버" dataDxfId="105">
      <calculatedColumnFormula>C5/2</calculatedColumnFormula>
    </tableColumn>
    <tableColumn id="4" name="골드" dataDxfId="104">
      <calculatedColumnFormula>D5/2</calculatedColumnFormula>
    </tableColumn>
    <tableColumn id="5" name="플래티넘" dataDxfId="103">
      <calculatedColumnFormula>E5/2</calculatedColumnFormula>
    </tableColumn>
    <tableColumn id="6" name="다이아몬드" dataDxfId="102">
      <calculatedColumnFormula>F5/2</calculatedColumnFormula>
    </tableColumn>
    <tableColumn id="7" name="마스터" dataDxfId="101">
      <calculatedColumnFormula>G5/2</calculatedColumnFormula>
    </tableColumn>
    <tableColumn id="8" name="챌린저" dataDxfId="100">
      <calculatedColumnFormula>H5/2</calculatedColumnFormula>
    </tableColumn>
  </tableColumns>
  <tableStyleInfo name="TableStyleLight10" showFirstColumn="0" showLastColumn="0" showRowStripes="1" showColumnStripes="0"/>
</table>
</file>

<file path=xl/tables/table84.xml><?xml version="1.0" encoding="utf-8"?>
<table xmlns="http://schemas.openxmlformats.org/spreadsheetml/2006/main" id="92" name="표5_816929333749535761697781858993" displayName="표5_816929333749535761697781858993" ref="K18:Q29" totalsRowShown="0">
  <autoFilter ref="K18:Q29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85.xml><?xml version="1.0" encoding="utf-8"?>
<table xmlns="http://schemas.openxmlformats.org/spreadsheetml/2006/main" id="93" name="표2_1321030344650545866747882869094" displayName="표2_1321030344650545866747882869094" ref="A4:H15" totalsRowShown="0">
  <autoFilter ref="A4:H15"/>
  <tableColumns count="8">
    <tableColumn id="1" name="체중  레벨" dataDxfId="99" dataCellStyle="강조색1"/>
    <tableColumn id="2" name="브론즈" dataDxfId="98"/>
    <tableColumn id="3" name="실버" dataDxfId="97"/>
    <tableColumn id="4" name="골드" dataDxfId="96"/>
    <tableColumn id="5" name="플래티넘" dataDxfId="95"/>
    <tableColumn id="6" name="다이아몬드" dataDxfId="94"/>
    <tableColumn id="7" name="마스터" dataDxfId="93"/>
    <tableColumn id="8" name="챌린저" dataDxfId="92"/>
  </tableColumns>
  <tableStyleInfo name="TableStyleLight9" showFirstColumn="0" showLastColumn="0" showRowStripes="1" showColumnStripes="0"/>
</table>
</file>

<file path=xl/tables/table86.xml><?xml version="1.0" encoding="utf-8"?>
<table xmlns="http://schemas.openxmlformats.org/spreadsheetml/2006/main" id="94" name="표5_1441131354751555967757983879195" displayName="표5_1441131354751555967757983879195" ref="K4:Q15" totalsRowShown="0">
  <autoFilter ref="K4:Q15"/>
  <tableColumns count="7">
    <tableColumn id="1" name="브론즈">
      <calculatedColumnFormula>B5/$A5</calculatedColumnFormula>
    </tableColumn>
    <tableColumn id="2" name="실버">
      <calculatedColumnFormula>C5/$A5</calculatedColumnFormula>
    </tableColumn>
    <tableColumn id="3" name="골드">
      <calculatedColumnFormula>D5/$A5</calculatedColumnFormula>
    </tableColumn>
    <tableColumn id="4" name="플래티넘">
      <calculatedColumnFormula>E5/$A5</calculatedColumnFormula>
    </tableColumn>
    <tableColumn id="5" name="다이아몬드">
      <calculatedColumnFormula>F5/$A5</calculatedColumnFormula>
    </tableColumn>
    <tableColumn id="6" name="마스터">
      <calculatedColumnFormula>G5/$A5</calculatedColumnFormula>
    </tableColumn>
    <tableColumn id="7" name="챌린저">
      <calculatedColumnFormula>H5/$A5</calculatedColumnFormula>
    </tableColumn>
  </tableColumns>
  <tableStyleInfo name="TableStyleLight9" showFirstColumn="0" showLastColumn="0" showRowStripes="1" showColumnStripes="0"/>
</table>
</file>

<file path=xl/tables/table87.xml><?xml version="1.0" encoding="utf-8"?>
<table xmlns="http://schemas.openxmlformats.org/spreadsheetml/2006/main" id="95" name="표2_71551232364852566068768084889296" displayName="표2_71551232364852566068768084889296" ref="A18:H29" totalsRowShown="0">
  <autoFilter ref="A18:H29"/>
  <tableColumns count="8">
    <tableColumn id="1" name="체중  레벨" dataCellStyle="강조색1"/>
    <tableColumn id="2" name="브론즈" dataDxfId="91">
      <calculatedColumnFormula>B5/2</calculatedColumnFormula>
    </tableColumn>
    <tableColumn id="3" name="실버" dataDxfId="90">
      <calculatedColumnFormula>C5/2</calculatedColumnFormula>
    </tableColumn>
    <tableColumn id="4" name="골드" dataDxfId="89">
      <calculatedColumnFormula>D5/2</calculatedColumnFormula>
    </tableColumn>
    <tableColumn id="5" name="플래티넘" dataDxfId="88">
      <calculatedColumnFormula>E5/2</calculatedColumnFormula>
    </tableColumn>
    <tableColumn id="6" name="다이아몬드" dataDxfId="87">
      <calculatedColumnFormula>F5/2</calculatedColumnFormula>
    </tableColumn>
    <tableColumn id="7" name="마스터" dataDxfId="86">
      <calculatedColumnFormula>G5/2</calculatedColumnFormula>
    </tableColumn>
    <tableColumn id="8" name="챌린저" dataDxfId="85">
      <calculatedColumnFormula>H5/2</calculatedColumnFormula>
    </tableColumn>
  </tableColumns>
  <tableStyleInfo name="TableStyleLight10" showFirstColumn="0" showLastColumn="0" showRowStripes="1" showColumnStripes="0"/>
</table>
</file>

<file path=xl/tables/table88.xml><?xml version="1.0" encoding="utf-8"?>
<table xmlns="http://schemas.openxmlformats.org/spreadsheetml/2006/main" id="96" name="표5_81692933374953576169778185899397" displayName="표5_81692933374953576169778185899397" ref="K18:Q29" totalsRowShown="0">
  <autoFilter ref="K18:Q29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89.xml><?xml version="1.0" encoding="utf-8"?>
<table xmlns="http://schemas.openxmlformats.org/spreadsheetml/2006/main" id="97" name="표2_132103034465054586674788286909498" displayName="표2_132103034465054586674788286909498" ref="A4:H15" totalsRowShown="0">
  <autoFilter ref="A4:H15"/>
  <tableColumns count="8">
    <tableColumn id="1" name="체중  레벨" dataDxfId="7" dataCellStyle="강조색1"/>
    <tableColumn id="2" name="브론즈" dataDxfId="6"/>
    <tableColumn id="3" name="실버" dataDxfId="5"/>
    <tableColumn id="4" name="골드" dataDxfId="4"/>
    <tableColumn id="5" name="플래티넘" dataDxfId="3"/>
    <tableColumn id="6" name="다이아몬드" dataDxfId="2"/>
    <tableColumn id="7" name="마스터" dataDxfId="1"/>
    <tableColumn id="8" name="챌린저" dataDxfId="0"/>
  </tableColumns>
  <tableStyleInfo name="TableStyleLight9" showFirstColumn="0" showLastColumn="0" showRowStripes="1" showColumnStripes="0"/>
</table>
</file>

<file path=xl/tables/table90.xml><?xml version="1.0" encoding="utf-8"?>
<table xmlns="http://schemas.openxmlformats.org/spreadsheetml/2006/main" id="98" name="표5_144113135475155596775798387919599" displayName="표5_144113135475155596775798387919599" ref="K4:Q15" totalsRowShown="0">
  <autoFilter ref="K4:Q15"/>
  <tableColumns count="7">
    <tableColumn id="1" name="브론즈">
      <calculatedColumnFormula>B5/$A5</calculatedColumnFormula>
    </tableColumn>
    <tableColumn id="2" name="실버">
      <calculatedColumnFormula>C5/$A5</calculatedColumnFormula>
    </tableColumn>
    <tableColumn id="3" name="골드">
      <calculatedColumnFormula>D5/$A5</calculatedColumnFormula>
    </tableColumn>
    <tableColumn id="4" name="플래티넘">
      <calculatedColumnFormula>E5/$A5</calculatedColumnFormula>
    </tableColumn>
    <tableColumn id="5" name="다이아몬드">
      <calculatedColumnFormula>F5/$A5</calculatedColumnFormula>
    </tableColumn>
    <tableColumn id="6" name="마스터">
      <calculatedColumnFormula>G5/$A5</calculatedColumnFormula>
    </tableColumn>
    <tableColumn id="7" name="챌린저">
      <calculatedColumnFormula>H5/$A5</calculatedColumnFormula>
    </tableColumn>
  </tableColumns>
  <tableStyleInfo name="TableStyleLight9" showFirstColumn="0" showLastColumn="0" showRowStripes="1" showColumnStripes="0"/>
</table>
</file>

<file path=xl/tables/table91.xml><?xml version="1.0" encoding="utf-8"?>
<table xmlns="http://schemas.openxmlformats.org/spreadsheetml/2006/main" id="99" name="표2_71551232364852566068768084889296100" displayName="표2_71551232364852566068768084889296100" ref="A18:H29" totalsRowShown="0">
  <autoFilter ref="A18:H29"/>
  <tableColumns count="8">
    <tableColumn id="1" name="체중  레벨" dataCellStyle="강조색1"/>
    <tableColumn id="2" name="브론즈" dataDxfId="84">
      <calculatedColumnFormula>B5/2</calculatedColumnFormula>
    </tableColumn>
    <tableColumn id="3" name="실버" dataDxfId="83">
      <calculatedColumnFormula>C5/2</calculatedColumnFormula>
    </tableColumn>
    <tableColumn id="4" name="골드" dataDxfId="82">
      <calculatedColumnFormula>D5/2</calculatedColumnFormula>
    </tableColumn>
    <tableColumn id="5" name="플래티넘" dataDxfId="81">
      <calculatedColumnFormula>E5/2</calculatedColumnFormula>
    </tableColumn>
    <tableColumn id="6" name="다이아몬드" dataDxfId="80">
      <calculatedColumnFormula>F5/2</calculatedColumnFormula>
    </tableColumn>
    <tableColumn id="7" name="마스터" dataDxfId="79">
      <calculatedColumnFormula>G5/2</calculatedColumnFormula>
    </tableColumn>
    <tableColumn id="8" name="챌린저" dataDxfId="78">
      <calculatedColumnFormula>H5/2</calculatedColumnFormula>
    </tableColumn>
  </tableColumns>
  <tableStyleInfo name="TableStyleLight10" showFirstColumn="0" showLastColumn="0" showRowStripes="1" showColumnStripes="0"/>
</table>
</file>

<file path=xl/tables/table92.xml><?xml version="1.0" encoding="utf-8"?>
<table xmlns="http://schemas.openxmlformats.org/spreadsheetml/2006/main" id="100" name="표5_81692933374953576169778185899397101" displayName="표5_81692933374953576169778185899397101" ref="K18:Q29" totalsRowShown="0">
  <autoFilter ref="K18:Q29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93.xml><?xml version="1.0" encoding="utf-8"?>
<table xmlns="http://schemas.openxmlformats.org/spreadsheetml/2006/main" id="103" name="표2_1321030344650545866747882104" displayName="표2_1321030344650545866747882104" ref="A4:H15" totalsRowShown="0">
  <autoFilter ref="A4:H15"/>
  <tableColumns count="8">
    <tableColumn id="1" name="체중  레벨" dataDxfId="77" dataCellStyle="강조색1"/>
    <tableColumn id="2" name="브론즈" dataDxfId="76"/>
    <tableColumn id="3" name="실버" dataDxfId="75"/>
    <tableColumn id="4" name="골드" dataDxfId="74"/>
    <tableColumn id="5" name="플래티넘" dataDxfId="73"/>
    <tableColumn id="6" name="다이아몬드" dataDxfId="72"/>
    <tableColumn id="7" name="마스터" dataDxfId="71"/>
    <tableColumn id="8" name="챌린저" dataDxfId="70"/>
  </tableColumns>
  <tableStyleInfo name="TableStyleLight9" showFirstColumn="0" showLastColumn="0" showRowStripes="1" showColumnStripes="0"/>
</table>
</file>

<file path=xl/tables/table94.xml><?xml version="1.0" encoding="utf-8"?>
<table xmlns="http://schemas.openxmlformats.org/spreadsheetml/2006/main" id="104" name="표5_1441131354751555967757983105" displayName="표5_1441131354751555967757983105" ref="K4:Q15" totalsRowShown="0">
  <autoFilter ref="K4:Q15"/>
  <tableColumns count="7">
    <tableColumn id="1" name="브론즈">
      <calculatedColumnFormula>B5/$A5</calculatedColumnFormula>
    </tableColumn>
    <tableColumn id="2" name="실버">
      <calculatedColumnFormula>C5/$A5</calculatedColumnFormula>
    </tableColumn>
    <tableColumn id="3" name="골드">
      <calculatedColumnFormula>D5/$A5</calculatedColumnFormula>
    </tableColumn>
    <tableColumn id="4" name="플래티넘">
      <calculatedColumnFormula>E5/$A5</calculatedColumnFormula>
    </tableColumn>
    <tableColumn id="5" name="다이아몬드">
      <calculatedColumnFormula>F5/$A5</calculatedColumnFormula>
    </tableColumn>
    <tableColumn id="6" name="마스터">
      <calculatedColumnFormula>G5/$A5</calculatedColumnFormula>
    </tableColumn>
    <tableColumn id="7" name="챌린저">
      <calculatedColumnFormula>H5/$A5</calculatedColumnFormula>
    </tableColumn>
  </tableColumns>
  <tableStyleInfo name="TableStyleLight9" showFirstColumn="0" showLastColumn="0" showRowStripes="1" showColumnStripes="0"/>
</table>
</file>

<file path=xl/tables/table95.xml><?xml version="1.0" encoding="utf-8"?>
<table xmlns="http://schemas.openxmlformats.org/spreadsheetml/2006/main" id="105" name="표2_71551232364852566068768084106" displayName="표2_71551232364852566068768084106" ref="A18:H29" totalsRowShown="0">
  <autoFilter ref="A18:H29"/>
  <tableColumns count="8">
    <tableColumn id="1" name="체중  레벨" dataCellStyle="강조색1"/>
    <tableColumn id="2" name="브론즈" dataDxfId="69">
      <calculatedColumnFormula>B5/2</calculatedColumnFormula>
    </tableColumn>
    <tableColumn id="3" name="실버" dataDxfId="68">
      <calculatedColumnFormula>C5/2</calculatedColumnFormula>
    </tableColumn>
    <tableColumn id="4" name="골드" dataDxfId="67">
      <calculatedColumnFormula>D5/2</calculatedColumnFormula>
    </tableColumn>
    <tableColumn id="5" name="플래티넘" dataDxfId="66">
      <calculatedColumnFormula>E5/2</calculatedColumnFormula>
    </tableColumn>
    <tableColumn id="6" name="다이아몬드" dataDxfId="65">
      <calculatedColumnFormula>F5/2</calculatedColumnFormula>
    </tableColumn>
    <tableColumn id="7" name="마스터" dataDxfId="64">
      <calculatedColumnFormula>G5/2</calculatedColumnFormula>
    </tableColumn>
    <tableColumn id="8" name="챌린저" dataDxfId="63">
      <calculatedColumnFormula>H5/2</calculatedColumnFormula>
    </tableColumn>
  </tableColumns>
  <tableStyleInfo name="TableStyleLight10" showFirstColumn="0" showLastColumn="0" showRowStripes="1" showColumnStripes="0"/>
</table>
</file>

<file path=xl/tables/table96.xml><?xml version="1.0" encoding="utf-8"?>
<table xmlns="http://schemas.openxmlformats.org/spreadsheetml/2006/main" id="106" name="표5_81692933374953576169778185107" displayName="표5_81692933374953576169778185107" ref="K18:Q29" totalsRowShown="0">
  <autoFilter ref="K18:Q29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97.xml><?xml version="1.0" encoding="utf-8"?>
<table xmlns="http://schemas.openxmlformats.org/spreadsheetml/2006/main" id="37" name="표2_132103038" displayName="표2_132103038" ref="A3:H14" totalsRowShown="0">
  <autoFilter ref="A3:H14"/>
  <tableColumns count="8">
    <tableColumn id="1" name="체중  레벨" dataDxfId="62" dataCellStyle="강조색1"/>
    <tableColumn id="2" name="브론즈" dataDxfId="61"/>
    <tableColumn id="3" name="실버" dataDxfId="60"/>
    <tableColumn id="4" name="골드" dataDxfId="59"/>
    <tableColumn id="5" name="플래티넘" dataDxfId="58"/>
    <tableColumn id="6" name="다이아몬드" dataDxfId="57"/>
    <tableColumn id="7" name="마스터" dataDxfId="56"/>
    <tableColumn id="8" name="챌린저" dataDxfId="55"/>
  </tableColumns>
  <tableStyleInfo name="TableStyleLight9" showFirstColumn="0" showLastColumn="0" showRowStripes="1" showColumnStripes="0"/>
</table>
</file>

<file path=xl/tables/table98.xml><?xml version="1.0" encoding="utf-8"?>
<table xmlns="http://schemas.openxmlformats.org/spreadsheetml/2006/main" id="38" name="표5_144113139" displayName="표5_144113139" ref="K3:Q14" totalsRowShown="0">
  <autoFilter ref="K3:Q14"/>
  <tableColumns count="7">
    <tableColumn id="1" name="브론즈">
      <calculatedColumnFormula>B4/$A4</calculatedColumnFormula>
    </tableColumn>
    <tableColumn id="2" name="실버">
      <calculatedColumnFormula>C4/$A4</calculatedColumnFormula>
    </tableColumn>
    <tableColumn id="3" name="골드">
      <calculatedColumnFormula>D4/$A4</calculatedColumnFormula>
    </tableColumn>
    <tableColumn id="4" name="플래티넘">
      <calculatedColumnFormula>E4/$A4</calculatedColumnFormula>
    </tableColumn>
    <tableColumn id="5" name="다이아몬드">
      <calculatedColumnFormula>F4/$A4</calculatedColumnFormula>
    </tableColumn>
    <tableColumn id="6" name="마스터">
      <calculatedColumnFormula>G4/$A4</calculatedColumnFormula>
    </tableColumn>
    <tableColumn id="7" name="챌린저">
      <calculatedColumnFormula>H4/$A4</calculatedColumnFormula>
    </tableColumn>
  </tableColumns>
  <tableStyleInfo name="TableStyleLight9" showFirstColumn="0" showLastColumn="0" showRowStripes="1" showColumnStripes="0"/>
</table>
</file>

<file path=xl/tables/table99.xml><?xml version="1.0" encoding="utf-8"?>
<table xmlns="http://schemas.openxmlformats.org/spreadsheetml/2006/main" id="39" name="표2_7155123240" displayName="표2_7155123240" ref="A22:H33" totalsRowShown="0">
  <autoFilter ref="A22:H33"/>
  <tableColumns count="8">
    <tableColumn id="1" name="체중  레벨" dataCellStyle="강조색1"/>
    <tableColumn id="2" name="브론즈" dataDxfId="54">
      <calculatedColumnFormula>B4/2</calculatedColumnFormula>
    </tableColumn>
    <tableColumn id="3" name="실버" dataDxfId="53">
      <calculatedColumnFormula>C4/2</calculatedColumnFormula>
    </tableColumn>
    <tableColumn id="4" name="골드" dataDxfId="52">
      <calculatedColumnFormula>D4/2</calculatedColumnFormula>
    </tableColumn>
    <tableColumn id="5" name="플래티넘" dataDxfId="51">
      <calculatedColumnFormula>E4/2</calculatedColumnFormula>
    </tableColumn>
    <tableColumn id="6" name="다이아몬드" dataDxfId="50">
      <calculatedColumnFormula>F4/2</calculatedColumnFormula>
    </tableColumn>
    <tableColumn id="7" name="마스터" dataDxfId="49">
      <calculatedColumnFormula>G4/2</calculatedColumnFormula>
    </tableColumn>
    <tableColumn id="8" name="챌린저" dataDxfId="48">
      <calculatedColumnFormula>H4/2</calculatedColumnFormula>
    </tableColumn>
  </tableColumns>
  <tableStyleInfo name="TableStyleLight10" showFirstColumn="0" showLastColumn="0" showRowStripes="1" showColumnStripes="0"/>
</table>
</file>

<file path=xl/tables/table100.xml><?xml version="1.0" encoding="utf-8"?>
<table xmlns="http://schemas.openxmlformats.org/spreadsheetml/2006/main" id="40" name="표5_8169293341" displayName="표5_8169293341" ref="K22:Q33" totalsRowShown="0">
  <autoFilter ref="K22:Q33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101.xml><?xml version="1.0" encoding="utf-8"?>
<table xmlns="http://schemas.openxmlformats.org/spreadsheetml/2006/main" id="16" name="표2_1317" displayName="표2_1317" ref="A4:H15" totalsRowShown="0">
  <autoFilter ref="A4:H15"/>
  <tableColumns count="8">
    <tableColumn id="1" name="체중  레벨" dataDxfId="47" dataCellStyle="강조색1"/>
    <tableColumn id="2" name="브론즈" dataDxfId="46"/>
    <tableColumn id="3" name="실버" dataDxfId="45"/>
    <tableColumn id="4" name="골드" dataDxfId="44"/>
    <tableColumn id="5" name="플래티넘" dataDxfId="43"/>
    <tableColumn id="6" name="다이아몬드" dataDxfId="42"/>
    <tableColumn id="7" name="마스터" dataDxfId="41"/>
    <tableColumn id="8" name="챌린저" dataDxfId="40"/>
  </tableColumns>
  <tableStyleInfo name="TableStyleLight9" showFirstColumn="0" showLastColumn="0" showRowStripes="1" showColumnStripes="0"/>
</table>
</file>

<file path=xl/tables/table102.xml><?xml version="1.0" encoding="utf-8"?>
<table xmlns="http://schemas.openxmlformats.org/spreadsheetml/2006/main" id="17" name="표5_1418" displayName="표5_1418" ref="K4:Q15" totalsRowShown="0">
  <autoFilter ref="K4:Q15"/>
  <tableColumns count="7">
    <tableColumn id="1" name="브론즈">
      <calculatedColumnFormula>B5/$A5</calculatedColumnFormula>
    </tableColumn>
    <tableColumn id="2" name="실버">
      <calculatedColumnFormula>C5/$A5</calculatedColumnFormula>
    </tableColumn>
    <tableColumn id="3" name="골드">
      <calculatedColumnFormula>D5/$A5</calculatedColumnFormula>
    </tableColumn>
    <tableColumn id="4" name="플래티넘">
      <calculatedColumnFormula>E5/$A5</calculatedColumnFormula>
    </tableColumn>
    <tableColumn id="5" name="다이아몬드">
      <calculatedColumnFormula>F5/$A5</calculatedColumnFormula>
    </tableColumn>
    <tableColumn id="6" name="마스터">
      <calculatedColumnFormula>G5/$A5</calculatedColumnFormula>
    </tableColumn>
    <tableColumn id="7" name="챌린저">
      <calculatedColumnFormula>H5/$A5</calculatedColumnFormula>
    </tableColumn>
  </tableColumns>
  <tableStyleInfo name="TableStyleLight9" showFirstColumn="0" showLastColumn="0" showRowStripes="1" showColumnStripes="0"/>
</table>
</file>

<file path=xl/tables/table103.xml><?xml version="1.0" encoding="utf-8"?>
<table xmlns="http://schemas.openxmlformats.org/spreadsheetml/2006/main" id="18" name="표2_71519" displayName="표2_71519" ref="A18:H29" totalsRowShown="0">
  <autoFilter ref="A18:H29"/>
  <tableColumns count="8">
    <tableColumn id="1" name="체중  레벨" dataCellStyle="강조색1"/>
    <tableColumn id="2" name="브론즈"/>
    <tableColumn id="3" name="실버" dataDxfId="39">
      <calculatedColumnFormula>(표2_71519[[#This Row],[브론즈]]*1.16)/1.25</calculatedColumnFormula>
    </tableColumn>
    <tableColumn id="4" name="골드"/>
    <tableColumn id="5" name="플래티넘" dataDxfId="38">
      <calculatedColumnFormula>(표2_71519[[#This Row],[골드]]*1.1)/1.25</calculatedColumnFormula>
    </tableColumn>
    <tableColumn id="6" name="다이아몬드"/>
    <tableColumn id="7" name="마스터"/>
    <tableColumn id="8" name="챌린저"/>
  </tableColumns>
  <tableStyleInfo name="TableStyleLight10" showFirstColumn="0" showLastColumn="0" showRowStripes="1" showColumnStripes="0"/>
</table>
</file>

<file path=xl/tables/table104.xml><?xml version="1.0" encoding="utf-8"?>
<table xmlns="http://schemas.openxmlformats.org/spreadsheetml/2006/main" id="19" name="표5_81620" displayName="표5_81620" ref="K18:Q29" totalsRowShown="0">
  <autoFilter ref="K18:Q29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105.xml><?xml version="1.0" encoding="utf-8"?>
<table xmlns="http://schemas.openxmlformats.org/spreadsheetml/2006/main" id="109" name="표2_132103034465054586670110" displayName="표2_132103034465054586670110" ref="A3:H14" totalsRowShown="0">
  <autoFilter ref="A3:H14"/>
  <tableColumns count="8">
    <tableColumn id="1" name="체중  레벨" dataDxfId="37" dataCellStyle="강조색1"/>
    <tableColumn id="2" name="브론즈" dataDxfId="36"/>
    <tableColumn id="3" name="실버" dataDxfId="35"/>
    <tableColumn id="4" name="골드" dataDxfId="34"/>
    <tableColumn id="5" name="플래티넘" dataDxfId="33"/>
    <tableColumn id="6" name="다이아몬드" dataDxfId="32"/>
    <tableColumn id="7" name="마스터" dataDxfId="31"/>
    <tableColumn id="8" name="챌린저" dataDxfId="30"/>
  </tableColumns>
  <tableStyleInfo name="TableStyleLight9" showFirstColumn="0" showLastColumn="0" showRowStripes="1" showColumnStripes="0"/>
</table>
</file>

<file path=xl/tables/table106.xml><?xml version="1.0" encoding="utf-8"?>
<table xmlns="http://schemas.openxmlformats.org/spreadsheetml/2006/main" id="110" name="표5_144113135475155596771111" displayName="표5_144113135475155596771111" ref="K3:Q14" totalsRowShown="0">
  <autoFilter ref="K3:Q14"/>
  <tableColumns count="7">
    <tableColumn id="1" name="브론즈">
      <calculatedColumnFormula>B4/$A4</calculatedColumnFormula>
    </tableColumn>
    <tableColumn id="2" name="실버">
      <calculatedColumnFormula>C4/$A4</calculatedColumnFormula>
    </tableColumn>
    <tableColumn id="3" name="골드">
      <calculatedColumnFormula>E4/$A4</calculatedColumnFormula>
    </tableColumn>
    <tableColumn id="4" name="플래티넘">
      <calculatedColumnFormula>F4/$A4</calculatedColumnFormula>
    </tableColumn>
    <tableColumn id="5" name="다이아몬드">
      <calculatedColumnFormula>G4/$A4</calculatedColumnFormula>
    </tableColumn>
    <tableColumn id="6" name="마스터">
      <calculatedColumnFormula>H4/$A4</calculatedColumnFormula>
    </tableColumn>
    <tableColumn id="7" name="챌린저">
      <calculatedColumnFormula>#REF!/$A4</calculatedColumnFormula>
    </tableColumn>
  </tableColumns>
  <tableStyleInfo name="TableStyleLight9" showFirstColumn="0" showLastColumn="0" showRowStripes="1" showColumnStripes="0"/>
</table>
</file>

<file path=xl/tables/table107.xml><?xml version="1.0" encoding="utf-8"?>
<table xmlns="http://schemas.openxmlformats.org/spreadsheetml/2006/main" id="111" name="표2_7155123236485256606872112" displayName="표2_7155123236485256606872112" ref="A17:H28" totalsRowShown="0">
  <autoFilter ref="A17:H28"/>
  <tableColumns count="8">
    <tableColumn id="1" name="체중  레벨" dataCellStyle="강조색1"/>
    <tableColumn id="2" name="브론즈" dataDxfId="29">
      <calculatedColumnFormula>B4/2</calculatedColumnFormula>
    </tableColumn>
    <tableColumn id="3" name="실버" dataDxfId="28">
      <calculatedColumnFormula>C4/2</calculatedColumnFormula>
    </tableColumn>
    <tableColumn id="4" name="골드" dataDxfId="27">
      <calculatedColumnFormula>E4/2</calculatedColumnFormula>
    </tableColumn>
    <tableColumn id="5" name="플래티넘" dataDxfId="26">
      <calculatedColumnFormula>F4/2</calculatedColumnFormula>
    </tableColumn>
    <tableColumn id="6" name="다이아몬드" dataDxfId="25">
      <calculatedColumnFormula>G4/2</calculatedColumnFormula>
    </tableColumn>
    <tableColumn id="7" name="마스터" dataDxfId="24">
      <calculatedColumnFormula>H4/2</calculatedColumnFormula>
    </tableColumn>
    <tableColumn id="8" name="챌린저" dataDxfId="23">
      <calculatedColumnFormula>#REF!/2</calculatedColumnFormula>
    </tableColumn>
  </tableColumns>
  <tableStyleInfo name="TableStyleLight10" showFirstColumn="0" showLastColumn="0" showRowStripes="1" showColumnStripes="0"/>
</table>
</file>

<file path=xl/tables/table108.xml><?xml version="1.0" encoding="utf-8"?>
<table xmlns="http://schemas.openxmlformats.org/spreadsheetml/2006/main" id="112" name="표5_8169293337495357616973113" displayName="표5_8169293337495357616973113" ref="K17:Q28" totalsRowShown="0">
  <autoFilter ref="K17:Q28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ables/table109.xml><?xml version="1.0" encoding="utf-8"?>
<table xmlns="http://schemas.openxmlformats.org/spreadsheetml/2006/main" id="81" name="표2_1321030344650545866747882" displayName="표2_1321030344650545866747882" ref="A4:H15" totalsRowShown="0">
  <autoFilter ref="A4:H15"/>
  <tableColumns count="8">
    <tableColumn id="1" name="체중  레벨" dataDxfId="22" dataCellStyle="강조색1"/>
    <tableColumn id="2" name="브론즈" dataDxfId="21"/>
    <tableColumn id="3" name="실버" dataDxfId="20"/>
    <tableColumn id="4" name="골드" dataDxfId="19"/>
    <tableColumn id="5" name="플래티넘" dataDxfId="18"/>
    <tableColumn id="6" name="다이아몬드" dataDxfId="17"/>
    <tableColumn id="7" name="마스터" dataDxfId="16"/>
    <tableColumn id="8" name="챌린저" dataDxfId="15"/>
  </tableColumns>
  <tableStyleInfo name="TableStyleLight9" showFirstColumn="0" showLastColumn="0" showRowStripes="1" showColumnStripes="0"/>
</table>
</file>

<file path=xl/tables/table110.xml><?xml version="1.0" encoding="utf-8"?>
<table xmlns="http://schemas.openxmlformats.org/spreadsheetml/2006/main" id="82" name="표5_1441131354751555967757983" displayName="표5_1441131354751555967757983" ref="K4:Q15" totalsRowShown="0">
  <autoFilter ref="K4:Q15"/>
  <tableColumns count="7">
    <tableColumn id="1" name="브론즈">
      <calculatedColumnFormula>B5/$A5</calculatedColumnFormula>
    </tableColumn>
    <tableColumn id="2" name="실버">
      <calculatedColumnFormula>C5/$A5</calculatedColumnFormula>
    </tableColumn>
    <tableColumn id="3" name="골드">
      <calculatedColumnFormula>D5/$A5</calculatedColumnFormula>
    </tableColumn>
    <tableColumn id="4" name="플래티넘">
      <calculatedColumnFormula>E5/$A5</calculatedColumnFormula>
    </tableColumn>
    <tableColumn id="5" name="다이아몬드">
      <calculatedColumnFormula>F5/$A5</calculatedColumnFormula>
    </tableColumn>
    <tableColumn id="6" name="마스터">
      <calculatedColumnFormula>G5/$A5</calculatedColumnFormula>
    </tableColumn>
    <tableColumn id="7" name="챌린저">
      <calculatedColumnFormula>H5/$A5</calculatedColumnFormula>
    </tableColumn>
  </tableColumns>
  <tableStyleInfo name="TableStyleLight9" showFirstColumn="0" showLastColumn="0" showRowStripes="1" showColumnStripes="0"/>
</table>
</file>

<file path=xl/tables/table111.xml><?xml version="1.0" encoding="utf-8"?>
<table xmlns="http://schemas.openxmlformats.org/spreadsheetml/2006/main" id="83" name="표2_71551232364852566068768084" displayName="표2_71551232364852566068768084" ref="A18:H29" totalsRowShown="0">
  <autoFilter ref="A18:H29"/>
  <tableColumns count="8">
    <tableColumn id="1" name="체중  레벨" dataCellStyle="강조색1"/>
    <tableColumn id="2" name="브론즈" dataDxfId="14">
      <calculatedColumnFormula>B5/2</calculatedColumnFormula>
    </tableColumn>
    <tableColumn id="3" name="실버" dataDxfId="13">
      <calculatedColumnFormula>C5/2</calculatedColumnFormula>
    </tableColumn>
    <tableColumn id="4" name="골드" dataDxfId="12">
      <calculatedColumnFormula>D5/2</calculatedColumnFormula>
    </tableColumn>
    <tableColumn id="5" name="플래티넘" dataDxfId="11">
      <calculatedColumnFormula>E5/2</calculatedColumnFormula>
    </tableColumn>
    <tableColumn id="6" name="다이아몬드" dataDxfId="10">
      <calculatedColumnFormula>F5/2</calculatedColumnFormula>
    </tableColumn>
    <tableColumn id="7" name="마스터" dataDxfId="9">
      <calculatedColumnFormula>G5/2</calculatedColumnFormula>
    </tableColumn>
    <tableColumn id="8" name="챌린저" dataDxfId="8">
      <calculatedColumnFormula>H5/2</calculatedColumnFormula>
    </tableColumn>
  </tableColumns>
  <tableStyleInfo name="TableStyleLight10" showFirstColumn="0" showLastColumn="0" showRowStripes="1" showColumnStripes="0"/>
</table>
</file>

<file path=xl/tables/table112.xml><?xml version="1.0" encoding="utf-8"?>
<table xmlns="http://schemas.openxmlformats.org/spreadsheetml/2006/main" id="84" name="표5_81692933374953576169778185" displayName="표5_81692933374953576169778185" ref="K18:Q29" totalsRowShown="0">
  <autoFilter ref="K18:Q29"/>
  <tableColumns count="7">
    <tableColumn id="1" name="브론즈"/>
    <tableColumn id="2" name="실버"/>
    <tableColumn id="3" name="골드"/>
    <tableColumn id="4" name="플래티넘"/>
    <tableColumn id="5" name="다이아몬드"/>
    <tableColumn id="6" name="마스터"/>
    <tableColumn id="7" name="챌린저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4" Type="http://schemas.openxmlformats.org/officeDocument/2006/relationships/table" Target="../tables/table2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4" Type="http://schemas.openxmlformats.org/officeDocument/2006/relationships/table" Target="../tables/table2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4" Type="http://schemas.openxmlformats.org/officeDocument/2006/relationships/table" Target="../tables/table3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Relationship Id="rId4" Type="http://schemas.openxmlformats.org/officeDocument/2006/relationships/table" Target="../tables/table3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Relationship Id="rId4" Type="http://schemas.openxmlformats.org/officeDocument/2006/relationships/table" Target="../tables/table4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Relationship Id="rId4" Type="http://schemas.openxmlformats.org/officeDocument/2006/relationships/table" Target="../tables/table4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table" Target="../tables/table46.xml"/><Relationship Id="rId1" Type="http://schemas.openxmlformats.org/officeDocument/2006/relationships/table" Target="../tables/table45.xml"/><Relationship Id="rId4" Type="http://schemas.openxmlformats.org/officeDocument/2006/relationships/table" Target="../tables/table4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table" Target="../tables/table54.xml"/><Relationship Id="rId1" Type="http://schemas.openxmlformats.org/officeDocument/2006/relationships/table" Target="../tables/table53.xml"/><Relationship Id="rId4" Type="http://schemas.openxmlformats.org/officeDocument/2006/relationships/table" Target="../tables/table5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table" Target="../tables/table58.xml"/><Relationship Id="rId1" Type="http://schemas.openxmlformats.org/officeDocument/2006/relationships/table" Target="../tables/table57.xml"/><Relationship Id="rId4" Type="http://schemas.openxmlformats.org/officeDocument/2006/relationships/table" Target="../tables/table6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2" Type="http://schemas.openxmlformats.org/officeDocument/2006/relationships/table" Target="../tables/table62.xml"/><Relationship Id="rId1" Type="http://schemas.openxmlformats.org/officeDocument/2006/relationships/table" Target="../tables/table61.xml"/><Relationship Id="rId4" Type="http://schemas.openxmlformats.org/officeDocument/2006/relationships/table" Target="../tables/table6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7.xml"/><Relationship Id="rId2" Type="http://schemas.openxmlformats.org/officeDocument/2006/relationships/table" Target="../tables/table66.xml"/><Relationship Id="rId1" Type="http://schemas.openxmlformats.org/officeDocument/2006/relationships/table" Target="../tables/table65.xml"/><Relationship Id="rId4" Type="http://schemas.openxmlformats.org/officeDocument/2006/relationships/table" Target="../tables/table6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2" Type="http://schemas.openxmlformats.org/officeDocument/2006/relationships/table" Target="../tables/table70.xml"/><Relationship Id="rId1" Type="http://schemas.openxmlformats.org/officeDocument/2006/relationships/table" Target="../tables/table69.xml"/><Relationship Id="rId4" Type="http://schemas.openxmlformats.org/officeDocument/2006/relationships/table" Target="../tables/table7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2" Type="http://schemas.openxmlformats.org/officeDocument/2006/relationships/table" Target="../tables/table74.xml"/><Relationship Id="rId1" Type="http://schemas.openxmlformats.org/officeDocument/2006/relationships/table" Target="../tables/table73.xml"/><Relationship Id="rId4" Type="http://schemas.openxmlformats.org/officeDocument/2006/relationships/table" Target="../tables/table7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8.xml"/><Relationship Id="rId2" Type="http://schemas.openxmlformats.org/officeDocument/2006/relationships/table" Target="../tables/table77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80.xml"/><Relationship Id="rId4" Type="http://schemas.openxmlformats.org/officeDocument/2006/relationships/table" Target="../tables/table7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3.xml"/><Relationship Id="rId2" Type="http://schemas.openxmlformats.org/officeDocument/2006/relationships/table" Target="../tables/table82.xml"/><Relationship Id="rId1" Type="http://schemas.openxmlformats.org/officeDocument/2006/relationships/table" Target="../tables/table81.xml"/><Relationship Id="rId4" Type="http://schemas.openxmlformats.org/officeDocument/2006/relationships/table" Target="../tables/table8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2" Type="http://schemas.openxmlformats.org/officeDocument/2006/relationships/table" Target="../tables/table86.xml"/><Relationship Id="rId1" Type="http://schemas.openxmlformats.org/officeDocument/2006/relationships/table" Target="../tables/table85.xml"/><Relationship Id="rId4" Type="http://schemas.openxmlformats.org/officeDocument/2006/relationships/table" Target="../tables/table88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1.xml"/><Relationship Id="rId2" Type="http://schemas.openxmlformats.org/officeDocument/2006/relationships/table" Target="../tables/table90.xml"/><Relationship Id="rId1" Type="http://schemas.openxmlformats.org/officeDocument/2006/relationships/table" Target="../tables/table89.xml"/><Relationship Id="rId4" Type="http://schemas.openxmlformats.org/officeDocument/2006/relationships/table" Target="../tables/table9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5.xml"/><Relationship Id="rId2" Type="http://schemas.openxmlformats.org/officeDocument/2006/relationships/table" Target="../tables/table94.xml"/><Relationship Id="rId1" Type="http://schemas.openxmlformats.org/officeDocument/2006/relationships/table" Target="../tables/table93.xml"/><Relationship Id="rId4" Type="http://schemas.openxmlformats.org/officeDocument/2006/relationships/table" Target="../tables/table9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2" Type="http://schemas.openxmlformats.org/officeDocument/2006/relationships/table" Target="../tables/table98.xml"/><Relationship Id="rId1" Type="http://schemas.openxmlformats.org/officeDocument/2006/relationships/table" Target="../tables/table97.xml"/><Relationship Id="rId4" Type="http://schemas.openxmlformats.org/officeDocument/2006/relationships/table" Target="../tables/table10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2.xml"/><Relationship Id="rId2" Type="http://schemas.openxmlformats.org/officeDocument/2006/relationships/table" Target="../tables/table101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104.xml"/><Relationship Id="rId4" Type="http://schemas.openxmlformats.org/officeDocument/2006/relationships/table" Target="../tables/table103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7.xml"/><Relationship Id="rId2" Type="http://schemas.openxmlformats.org/officeDocument/2006/relationships/table" Target="../tables/table106.xml"/><Relationship Id="rId1" Type="http://schemas.openxmlformats.org/officeDocument/2006/relationships/table" Target="../tables/table105.xml"/><Relationship Id="rId4" Type="http://schemas.openxmlformats.org/officeDocument/2006/relationships/table" Target="../tables/table108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opLeftCell="A10" zoomScale="90" zoomScaleNormal="90" workbookViewId="0">
      <selection activeCell="V36" sqref="V36"/>
    </sheetView>
  </sheetViews>
  <sheetFormatPr defaultRowHeight="17.399999999999999" x14ac:dyDescent="0.4"/>
  <cols>
    <col min="1" max="1" width="11" customWidth="1"/>
    <col min="13" max="13" width="12.59765625" bestFit="1" customWidth="1"/>
  </cols>
  <sheetData>
    <row r="1" spans="1:18" x14ac:dyDescent="0.4">
      <c r="A1" t="s">
        <v>0</v>
      </c>
      <c r="D1" t="s">
        <v>7</v>
      </c>
    </row>
    <row r="2" spans="1:18" x14ac:dyDescent="0.4">
      <c r="A2" t="s">
        <v>1</v>
      </c>
      <c r="B2" t="s">
        <v>2</v>
      </c>
      <c r="D2" t="s">
        <v>8</v>
      </c>
      <c r="E2" t="s">
        <v>16</v>
      </c>
      <c r="F2" t="s">
        <v>28</v>
      </c>
    </row>
    <row r="3" spans="1:18" x14ac:dyDescent="0.4">
      <c r="B3" s="8" t="s">
        <v>3</v>
      </c>
      <c r="D3" t="s">
        <v>9</v>
      </c>
      <c r="E3" t="s">
        <v>15</v>
      </c>
      <c r="F3" t="s">
        <v>27</v>
      </c>
    </row>
    <row r="4" spans="1:18" x14ac:dyDescent="0.4">
      <c r="B4" s="8" t="s">
        <v>4</v>
      </c>
      <c r="D4" t="s">
        <v>10</v>
      </c>
      <c r="E4" t="s">
        <v>17</v>
      </c>
      <c r="F4" t="s">
        <v>22</v>
      </c>
    </row>
    <row r="5" spans="1:18" x14ac:dyDescent="0.4">
      <c r="B5" t="s">
        <v>5</v>
      </c>
      <c r="D5" t="s">
        <v>11</v>
      </c>
      <c r="E5" t="s">
        <v>18</v>
      </c>
      <c r="F5" t="s">
        <v>23</v>
      </c>
    </row>
    <row r="6" spans="1:18" x14ac:dyDescent="0.4">
      <c r="B6" t="s">
        <v>6</v>
      </c>
      <c r="D6" t="s">
        <v>12</v>
      </c>
      <c r="E6" t="s">
        <v>19</v>
      </c>
      <c r="F6" t="s">
        <v>24</v>
      </c>
    </row>
    <row r="7" spans="1:18" x14ac:dyDescent="0.4">
      <c r="D7" t="s">
        <v>13</v>
      </c>
      <c r="E7" t="s">
        <v>20</v>
      </c>
      <c r="F7" t="s">
        <v>25</v>
      </c>
    </row>
    <row r="8" spans="1:18" x14ac:dyDescent="0.4">
      <c r="D8" t="s">
        <v>14</v>
      </c>
      <c r="E8" t="s">
        <v>21</v>
      </c>
      <c r="F8" t="s">
        <v>26</v>
      </c>
    </row>
    <row r="10" spans="1:18" ht="25.2" x14ac:dyDescent="0.4">
      <c r="A10" s="25" t="s">
        <v>49</v>
      </c>
      <c r="B10" s="26"/>
      <c r="C10" s="26"/>
      <c r="D10" s="26"/>
      <c r="E10" s="26"/>
      <c r="F10" s="26"/>
      <c r="G10" s="26"/>
      <c r="H10" s="26"/>
      <c r="K10" s="25" t="s">
        <v>36</v>
      </c>
      <c r="L10" s="26"/>
      <c r="M10" s="26"/>
      <c r="N10" s="26"/>
      <c r="O10" s="26"/>
      <c r="P10" s="26"/>
      <c r="Q10" s="26"/>
      <c r="R10" s="26"/>
    </row>
    <row r="12" spans="1:18" x14ac:dyDescent="0.4">
      <c r="A12" s="1" t="s">
        <v>29</v>
      </c>
      <c r="B12" t="s">
        <v>30</v>
      </c>
      <c r="C12" t="s">
        <v>9</v>
      </c>
      <c r="D12" t="s">
        <v>10</v>
      </c>
      <c r="E12" t="s">
        <v>11</v>
      </c>
      <c r="F12" t="s">
        <v>31</v>
      </c>
      <c r="G12" t="s">
        <v>32</v>
      </c>
      <c r="H12" t="s">
        <v>33</v>
      </c>
      <c r="K12" t="s">
        <v>30</v>
      </c>
      <c r="L12" t="s">
        <v>9</v>
      </c>
      <c r="M12" t="s">
        <v>10</v>
      </c>
      <c r="N12" t="s">
        <v>34</v>
      </c>
      <c r="O12" t="s">
        <v>35</v>
      </c>
      <c r="P12" t="s">
        <v>32</v>
      </c>
      <c r="Q12" t="s">
        <v>33</v>
      </c>
    </row>
    <row r="13" spans="1:18" x14ac:dyDescent="0.4">
      <c r="A13" s="3">
        <v>55</v>
      </c>
      <c r="B13">
        <v>20</v>
      </c>
      <c r="C13">
        <v>30</v>
      </c>
      <c r="D13">
        <v>35</v>
      </c>
      <c r="E13">
        <v>50</v>
      </c>
      <c r="F13">
        <v>60</v>
      </c>
      <c r="G13">
        <v>70</v>
      </c>
      <c r="H13">
        <v>80</v>
      </c>
      <c r="K13">
        <f t="shared" ref="K13:K22" si="0">B13/$A13</f>
        <v>0.36363636363636365</v>
      </c>
      <c r="L13">
        <f t="shared" ref="L13:L22" si="1">C13/$A13</f>
        <v>0.54545454545454541</v>
      </c>
      <c r="M13">
        <f t="shared" ref="M13:M22" si="2">D13/$A13</f>
        <v>0.63636363636363635</v>
      </c>
      <c r="N13">
        <f t="shared" ref="N13:N22" si="3">E13/$A13</f>
        <v>0.90909090909090906</v>
      </c>
      <c r="O13">
        <f t="shared" ref="O13:O22" si="4">F13/$A13</f>
        <v>1.0909090909090908</v>
      </c>
      <c r="P13">
        <f t="shared" ref="P13:P22" si="5">G13/$A13</f>
        <v>1.2727272727272727</v>
      </c>
      <c r="Q13">
        <f t="shared" ref="Q13:Q22" si="6">H13/$A13</f>
        <v>1.4545454545454546</v>
      </c>
    </row>
    <row r="14" spans="1:18" x14ac:dyDescent="0.4">
      <c r="A14" s="3">
        <v>60</v>
      </c>
      <c r="B14">
        <v>20</v>
      </c>
      <c r="C14">
        <v>35</v>
      </c>
      <c r="D14">
        <v>40</v>
      </c>
      <c r="E14">
        <v>55</v>
      </c>
      <c r="F14">
        <v>70</v>
      </c>
      <c r="G14">
        <v>75</v>
      </c>
      <c r="H14">
        <v>90</v>
      </c>
      <c r="K14">
        <f t="shared" si="0"/>
        <v>0.33333333333333331</v>
      </c>
      <c r="L14">
        <f t="shared" si="1"/>
        <v>0.58333333333333337</v>
      </c>
      <c r="M14">
        <f t="shared" si="2"/>
        <v>0.66666666666666663</v>
      </c>
      <c r="N14">
        <f t="shared" si="3"/>
        <v>0.91666666666666663</v>
      </c>
      <c r="O14">
        <f t="shared" si="4"/>
        <v>1.1666666666666667</v>
      </c>
      <c r="P14">
        <f t="shared" si="5"/>
        <v>1.25</v>
      </c>
      <c r="Q14">
        <f t="shared" si="6"/>
        <v>1.5</v>
      </c>
    </row>
    <row r="15" spans="1:18" x14ac:dyDescent="0.4">
      <c r="A15" s="3">
        <v>65</v>
      </c>
      <c r="B15">
        <v>20</v>
      </c>
      <c r="C15">
        <v>40</v>
      </c>
      <c r="D15">
        <v>40</v>
      </c>
      <c r="E15">
        <v>60</v>
      </c>
      <c r="F15">
        <v>75</v>
      </c>
      <c r="G15">
        <v>85</v>
      </c>
      <c r="H15">
        <v>100</v>
      </c>
      <c r="K15">
        <f t="shared" si="0"/>
        <v>0.30769230769230771</v>
      </c>
      <c r="L15">
        <f t="shared" si="1"/>
        <v>0.61538461538461542</v>
      </c>
      <c r="M15">
        <f t="shared" si="2"/>
        <v>0.61538461538461542</v>
      </c>
      <c r="N15">
        <f t="shared" si="3"/>
        <v>0.92307692307692313</v>
      </c>
      <c r="O15">
        <f t="shared" si="4"/>
        <v>1.1538461538461537</v>
      </c>
      <c r="P15">
        <f t="shared" si="5"/>
        <v>1.3076923076923077</v>
      </c>
      <c r="Q15">
        <f t="shared" si="6"/>
        <v>1.5384615384615385</v>
      </c>
    </row>
    <row r="16" spans="1:18" x14ac:dyDescent="0.4">
      <c r="A16" s="3">
        <v>70</v>
      </c>
      <c r="B16">
        <v>20</v>
      </c>
      <c r="C16">
        <v>40</v>
      </c>
      <c r="D16">
        <v>50</v>
      </c>
      <c r="E16">
        <v>65</v>
      </c>
      <c r="F16" s="9">
        <v>80</v>
      </c>
      <c r="G16">
        <v>90</v>
      </c>
      <c r="H16">
        <v>110</v>
      </c>
      <c r="K16">
        <f t="shared" si="0"/>
        <v>0.2857142857142857</v>
      </c>
      <c r="L16">
        <f t="shared" si="1"/>
        <v>0.5714285714285714</v>
      </c>
      <c r="M16">
        <f t="shared" si="2"/>
        <v>0.7142857142857143</v>
      </c>
      <c r="N16">
        <f t="shared" si="3"/>
        <v>0.9285714285714286</v>
      </c>
      <c r="O16">
        <f t="shared" si="4"/>
        <v>1.1428571428571428</v>
      </c>
      <c r="P16">
        <f t="shared" si="5"/>
        <v>1.2857142857142858</v>
      </c>
      <c r="Q16">
        <f t="shared" si="6"/>
        <v>1.5714285714285714</v>
      </c>
    </row>
    <row r="17" spans="1:18" x14ac:dyDescent="0.4">
      <c r="A17" s="3">
        <v>75</v>
      </c>
      <c r="B17">
        <v>20</v>
      </c>
      <c r="C17">
        <v>40</v>
      </c>
      <c r="D17">
        <v>55</v>
      </c>
      <c r="E17" s="15">
        <v>70</v>
      </c>
      <c r="F17" s="9">
        <v>85</v>
      </c>
      <c r="G17">
        <v>95</v>
      </c>
      <c r="H17">
        <v>115</v>
      </c>
      <c r="K17">
        <f t="shared" si="0"/>
        <v>0.26666666666666666</v>
      </c>
      <c r="L17">
        <f t="shared" si="1"/>
        <v>0.53333333333333333</v>
      </c>
      <c r="M17">
        <f t="shared" si="2"/>
        <v>0.73333333333333328</v>
      </c>
      <c r="N17">
        <f t="shared" si="3"/>
        <v>0.93333333333333335</v>
      </c>
      <c r="O17">
        <f t="shared" si="4"/>
        <v>1.1333333333333333</v>
      </c>
      <c r="P17">
        <f t="shared" si="5"/>
        <v>1.2666666666666666</v>
      </c>
      <c r="Q17">
        <f t="shared" si="6"/>
        <v>1.5333333333333334</v>
      </c>
    </row>
    <row r="18" spans="1:18" x14ac:dyDescent="0.4">
      <c r="A18" s="3">
        <v>82</v>
      </c>
      <c r="B18">
        <v>20</v>
      </c>
      <c r="C18">
        <v>45</v>
      </c>
      <c r="D18">
        <v>60</v>
      </c>
      <c r="E18">
        <v>75</v>
      </c>
      <c r="F18">
        <v>90</v>
      </c>
      <c r="G18">
        <v>100</v>
      </c>
      <c r="H18">
        <v>125</v>
      </c>
      <c r="K18">
        <f t="shared" si="0"/>
        <v>0.24390243902439024</v>
      </c>
      <c r="L18">
        <f t="shared" si="1"/>
        <v>0.54878048780487809</v>
      </c>
      <c r="M18">
        <f t="shared" si="2"/>
        <v>0.73170731707317072</v>
      </c>
      <c r="N18">
        <f t="shared" si="3"/>
        <v>0.91463414634146345</v>
      </c>
      <c r="O18">
        <f t="shared" si="4"/>
        <v>1.0975609756097562</v>
      </c>
      <c r="P18">
        <f t="shared" si="5"/>
        <v>1.2195121951219512</v>
      </c>
      <c r="Q18">
        <f t="shared" si="6"/>
        <v>1.524390243902439</v>
      </c>
    </row>
    <row r="19" spans="1:18" x14ac:dyDescent="0.4">
      <c r="A19" s="3">
        <v>90</v>
      </c>
      <c r="B19">
        <v>20</v>
      </c>
      <c r="C19">
        <v>45</v>
      </c>
      <c r="D19">
        <v>65</v>
      </c>
      <c r="E19">
        <v>80</v>
      </c>
      <c r="F19">
        <v>95</v>
      </c>
      <c r="G19">
        <v>100</v>
      </c>
      <c r="H19">
        <v>130</v>
      </c>
      <c r="K19">
        <f t="shared" si="0"/>
        <v>0.22222222222222221</v>
      </c>
      <c r="L19">
        <f t="shared" si="1"/>
        <v>0.5</v>
      </c>
      <c r="M19">
        <f t="shared" si="2"/>
        <v>0.72222222222222221</v>
      </c>
      <c r="N19">
        <f t="shared" si="3"/>
        <v>0.88888888888888884</v>
      </c>
      <c r="O19">
        <f t="shared" si="4"/>
        <v>1.0555555555555556</v>
      </c>
      <c r="P19">
        <f t="shared" si="5"/>
        <v>1.1111111111111112</v>
      </c>
      <c r="Q19">
        <f t="shared" si="6"/>
        <v>1.4444444444444444</v>
      </c>
    </row>
    <row r="20" spans="1:18" x14ac:dyDescent="0.4">
      <c r="A20" s="3">
        <v>100</v>
      </c>
      <c r="B20">
        <v>20</v>
      </c>
      <c r="C20">
        <v>45</v>
      </c>
      <c r="D20">
        <v>65</v>
      </c>
      <c r="E20">
        <v>80</v>
      </c>
      <c r="F20">
        <v>100</v>
      </c>
      <c r="G20">
        <v>105</v>
      </c>
      <c r="H20">
        <v>135</v>
      </c>
      <c r="K20">
        <f t="shared" si="0"/>
        <v>0.2</v>
      </c>
      <c r="L20">
        <f t="shared" si="1"/>
        <v>0.45</v>
      </c>
      <c r="M20">
        <f t="shared" si="2"/>
        <v>0.65</v>
      </c>
      <c r="N20">
        <f t="shared" si="3"/>
        <v>0.8</v>
      </c>
      <c r="O20">
        <f t="shared" si="4"/>
        <v>1</v>
      </c>
      <c r="P20">
        <f t="shared" si="5"/>
        <v>1.05</v>
      </c>
      <c r="Q20">
        <f t="shared" si="6"/>
        <v>1.35</v>
      </c>
    </row>
    <row r="21" spans="1:18" x14ac:dyDescent="0.4">
      <c r="A21" s="3">
        <v>110</v>
      </c>
      <c r="B21">
        <v>20</v>
      </c>
      <c r="C21">
        <v>50</v>
      </c>
      <c r="D21">
        <v>70</v>
      </c>
      <c r="E21">
        <v>80</v>
      </c>
      <c r="F21">
        <v>105</v>
      </c>
      <c r="G21">
        <v>120</v>
      </c>
      <c r="H21">
        <v>145</v>
      </c>
      <c r="K21">
        <f t="shared" si="0"/>
        <v>0.18181818181818182</v>
      </c>
      <c r="L21">
        <f t="shared" si="1"/>
        <v>0.45454545454545453</v>
      </c>
      <c r="M21">
        <f t="shared" si="2"/>
        <v>0.63636363636363635</v>
      </c>
      <c r="N21">
        <f t="shared" si="3"/>
        <v>0.72727272727272729</v>
      </c>
      <c r="O21">
        <f t="shared" si="4"/>
        <v>0.95454545454545459</v>
      </c>
      <c r="P21">
        <f t="shared" si="5"/>
        <v>1.0909090909090908</v>
      </c>
      <c r="Q21">
        <f t="shared" si="6"/>
        <v>1.3181818181818181</v>
      </c>
    </row>
    <row r="22" spans="1:18" x14ac:dyDescent="0.4">
      <c r="A22" s="3">
        <v>120</v>
      </c>
      <c r="B22">
        <v>20</v>
      </c>
      <c r="C22">
        <v>50</v>
      </c>
      <c r="D22">
        <v>70</v>
      </c>
      <c r="E22">
        <v>85</v>
      </c>
      <c r="F22">
        <v>110</v>
      </c>
      <c r="G22">
        <v>125</v>
      </c>
      <c r="H22">
        <v>150</v>
      </c>
      <c r="K22">
        <f t="shared" si="0"/>
        <v>0.16666666666666666</v>
      </c>
      <c r="L22">
        <f t="shared" si="1"/>
        <v>0.41666666666666669</v>
      </c>
      <c r="M22">
        <f t="shared" si="2"/>
        <v>0.58333333333333337</v>
      </c>
      <c r="N22">
        <f t="shared" si="3"/>
        <v>0.70833333333333337</v>
      </c>
      <c r="O22">
        <f t="shared" si="4"/>
        <v>0.91666666666666663</v>
      </c>
      <c r="P22">
        <f t="shared" si="5"/>
        <v>1.0416666666666667</v>
      </c>
      <c r="Q22">
        <f t="shared" si="6"/>
        <v>1.25</v>
      </c>
    </row>
    <row r="23" spans="1:18" x14ac:dyDescent="0.4">
      <c r="A23" s="3">
        <v>130</v>
      </c>
      <c r="B23">
        <v>20</v>
      </c>
      <c r="C23">
        <v>55</v>
      </c>
      <c r="D23">
        <v>75</v>
      </c>
      <c r="E23">
        <v>90</v>
      </c>
      <c r="F23">
        <v>115</v>
      </c>
      <c r="G23">
        <v>130</v>
      </c>
      <c r="H23">
        <v>150</v>
      </c>
      <c r="K23">
        <f t="shared" ref="K23:Q23" si="7">B23/$A$23</f>
        <v>0.15384615384615385</v>
      </c>
      <c r="L23">
        <f t="shared" si="7"/>
        <v>0.42307692307692307</v>
      </c>
      <c r="M23">
        <f t="shared" si="7"/>
        <v>0.57692307692307687</v>
      </c>
      <c r="N23">
        <f t="shared" si="7"/>
        <v>0.69230769230769229</v>
      </c>
      <c r="O23">
        <f t="shared" si="7"/>
        <v>0.88461538461538458</v>
      </c>
      <c r="P23">
        <f t="shared" si="7"/>
        <v>1</v>
      </c>
      <c r="Q23">
        <f t="shared" si="7"/>
        <v>1.1538461538461537</v>
      </c>
    </row>
    <row r="25" spans="1:18" ht="27.6" x14ac:dyDescent="0.4">
      <c r="A25" s="25" t="s">
        <v>48</v>
      </c>
      <c r="B25" s="25"/>
      <c r="C25" s="25"/>
      <c r="D25" s="25"/>
      <c r="E25" s="25"/>
      <c r="F25" s="25"/>
      <c r="G25" s="25"/>
      <c r="H25" s="25"/>
      <c r="I25" s="14"/>
      <c r="J25" s="14"/>
      <c r="K25" s="27" t="s">
        <v>37</v>
      </c>
      <c r="L25" s="27"/>
      <c r="M25" s="27"/>
      <c r="N25" s="27"/>
      <c r="O25" s="27"/>
      <c r="P25" s="27"/>
      <c r="Q25" s="27"/>
      <c r="R25" s="27"/>
    </row>
    <row r="27" spans="1:18" x14ac:dyDescent="0.4">
      <c r="A27" s="1" t="s">
        <v>29</v>
      </c>
      <c r="B27" s="14" t="s">
        <v>30</v>
      </c>
      <c r="C27" s="14" t="s">
        <v>9</v>
      </c>
      <c r="D27" s="14" t="s">
        <v>10</v>
      </c>
      <c r="E27" s="14" t="s">
        <v>11</v>
      </c>
      <c r="F27" s="14" t="s">
        <v>31</v>
      </c>
      <c r="G27" s="14" t="s">
        <v>32</v>
      </c>
      <c r="H27" s="14" t="s">
        <v>33</v>
      </c>
      <c r="I27" s="14"/>
      <c r="J27" s="14"/>
      <c r="K27" s="14" t="s">
        <v>30</v>
      </c>
      <c r="L27" s="14" t="s">
        <v>9</v>
      </c>
      <c r="M27" s="14" t="s">
        <v>10</v>
      </c>
      <c r="N27" s="14" t="s">
        <v>34</v>
      </c>
      <c r="O27" s="14" t="s">
        <v>35</v>
      </c>
      <c r="P27" s="14" t="s">
        <v>32</v>
      </c>
      <c r="Q27" s="14" t="s">
        <v>33</v>
      </c>
      <c r="R27" s="14"/>
    </row>
    <row r="28" spans="1:18" x14ac:dyDescent="0.4">
      <c r="A28" s="2">
        <v>44</v>
      </c>
      <c r="B28" s="11">
        <v>3</v>
      </c>
      <c r="C28" s="11">
        <v>10</v>
      </c>
      <c r="D28" s="11">
        <v>15</v>
      </c>
      <c r="E28" s="11">
        <v>30</v>
      </c>
      <c r="F28" s="11">
        <v>35</v>
      </c>
      <c r="G28" s="11">
        <v>40</v>
      </c>
      <c r="H28" s="11">
        <v>45</v>
      </c>
      <c r="I28" s="14"/>
      <c r="J28" s="14"/>
      <c r="K28" s="14">
        <f>B28/$A28</f>
        <v>6.8181818181818177E-2</v>
      </c>
      <c r="L28" s="14">
        <f>C28/$A28</f>
        <v>0.22727272727272727</v>
      </c>
      <c r="M28" s="14">
        <f>D28/$A28</f>
        <v>0.34090909090909088</v>
      </c>
      <c r="N28" s="14">
        <f>E28/$A28</f>
        <v>0.68181818181818177</v>
      </c>
      <c r="O28" s="14">
        <f>F28/$A28</f>
        <v>0.79545454545454541</v>
      </c>
      <c r="P28" s="14">
        <f>G28/$A28</f>
        <v>0.90909090909090906</v>
      </c>
      <c r="Q28" s="14">
        <f>H28/$A28</f>
        <v>1.0227272727272727</v>
      </c>
      <c r="R28" s="14"/>
    </row>
    <row r="29" spans="1:18" x14ac:dyDescent="0.4">
      <c r="A29" s="2">
        <v>48</v>
      </c>
      <c r="B29" s="11">
        <v>3</v>
      </c>
      <c r="C29" s="11">
        <v>10</v>
      </c>
      <c r="D29" s="11">
        <v>15</v>
      </c>
      <c r="E29" s="11">
        <v>30</v>
      </c>
      <c r="F29" s="11">
        <v>35</v>
      </c>
      <c r="G29" s="11">
        <v>40</v>
      </c>
      <c r="H29" s="11">
        <v>50</v>
      </c>
      <c r="I29" s="14"/>
      <c r="J29" s="14"/>
      <c r="K29" s="14">
        <f>B29/$A29</f>
        <v>6.25E-2</v>
      </c>
      <c r="L29" s="14">
        <f>C29/$A29</f>
        <v>0.20833333333333334</v>
      </c>
      <c r="M29" s="14">
        <f>D29/$A29</f>
        <v>0.3125</v>
      </c>
      <c r="N29" s="14">
        <f>E29/$A29</f>
        <v>0.625</v>
      </c>
      <c r="O29" s="14">
        <f>F29/$A29</f>
        <v>0.72916666666666663</v>
      </c>
      <c r="P29" s="14">
        <f>G29/$A29</f>
        <v>0.83333333333333337</v>
      </c>
      <c r="Q29" s="14">
        <f>H29/$A29</f>
        <v>1.0416666666666667</v>
      </c>
    </row>
    <row r="30" spans="1:18" x14ac:dyDescent="0.4">
      <c r="A30" s="2">
        <v>52</v>
      </c>
      <c r="B30" s="11">
        <v>3</v>
      </c>
      <c r="C30" s="11">
        <v>10</v>
      </c>
      <c r="D30" s="11">
        <v>15</v>
      </c>
      <c r="E30" s="11">
        <v>30</v>
      </c>
      <c r="F30" s="11">
        <v>35</v>
      </c>
      <c r="G30" s="11">
        <v>40</v>
      </c>
      <c r="H30" s="11">
        <v>55</v>
      </c>
      <c r="I30" s="14"/>
      <c r="J30" s="14"/>
      <c r="K30" s="14">
        <f>B30/$A30</f>
        <v>5.7692307692307696E-2</v>
      </c>
      <c r="L30" s="14">
        <f>C30/$A30</f>
        <v>0.19230769230769232</v>
      </c>
      <c r="M30" s="14">
        <f>D30/$A30</f>
        <v>0.28846153846153844</v>
      </c>
      <c r="N30" s="14">
        <f>E30/$A30</f>
        <v>0.57692307692307687</v>
      </c>
      <c r="O30" s="14">
        <f>F30/$A30</f>
        <v>0.67307692307692313</v>
      </c>
      <c r="P30" s="14">
        <f>G30/$A30</f>
        <v>0.76923076923076927</v>
      </c>
      <c r="Q30" s="14">
        <f>H30/$A30</f>
        <v>1.0576923076923077</v>
      </c>
    </row>
    <row r="31" spans="1:18" x14ac:dyDescent="0.4">
      <c r="A31" s="2">
        <v>56</v>
      </c>
      <c r="B31" s="11">
        <v>3</v>
      </c>
      <c r="C31" s="11">
        <v>10</v>
      </c>
      <c r="D31" s="11">
        <v>15</v>
      </c>
      <c r="E31" s="11">
        <v>35</v>
      </c>
      <c r="F31" s="11">
        <v>40</v>
      </c>
      <c r="G31" s="11">
        <v>45</v>
      </c>
      <c r="H31" s="11">
        <v>60</v>
      </c>
      <c r="I31" s="14"/>
      <c r="J31" s="14"/>
      <c r="K31" s="14">
        <f>B31/$A31</f>
        <v>5.3571428571428568E-2</v>
      </c>
      <c r="L31" s="14">
        <f>C31/$A31</f>
        <v>0.17857142857142858</v>
      </c>
      <c r="M31" s="14">
        <f>D31/$A31</f>
        <v>0.26785714285714285</v>
      </c>
      <c r="N31" s="14">
        <f>E31/$A31</f>
        <v>0.625</v>
      </c>
      <c r="O31" s="14">
        <f>F31/$A31</f>
        <v>0.7142857142857143</v>
      </c>
      <c r="P31" s="14">
        <f>G31/$A31</f>
        <v>0.8035714285714286</v>
      </c>
      <c r="Q31" s="14">
        <f>H31/$A31</f>
        <v>1.0714285714285714</v>
      </c>
    </row>
    <row r="32" spans="1:18" x14ac:dyDescent="0.4">
      <c r="A32" s="2">
        <v>60</v>
      </c>
      <c r="B32" s="11">
        <v>5</v>
      </c>
      <c r="C32" s="11">
        <v>15</v>
      </c>
      <c r="D32" s="11">
        <v>20</v>
      </c>
      <c r="E32" s="11">
        <v>35.200000000000003</v>
      </c>
      <c r="F32" s="11">
        <v>40</v>
      </c>
      <c r="G32" s="11">
        <v>45</v>
      </c>
      <c r="H32" s="11">
        <v>60</v>
      </c>
      <c r="I32" s="14"/>
      <c r="J32" s="14"/>
      <c r="K32" s="14">
        <f>B32/$A32</f>
        <v>8.3333333333333329E-2</v>
      </c>
      <c r="L32" s="14">
        <f>C32/$A32</f>
        <v>0.25</v>
      </c>
      <c r="M32" s="14">
        <f>D32/$A32</f>
        <v>0.33333333333333331</v>
      </c>
      <c r="N32" s="14">
        <f>E32/$A32</f>
        <v>0.58666666666666667</v>
      </c>
      <c r="O32" s="14">
        <f>F32/$A32</f>
        <v>0.66666666666666663</v>
      </c>
      <c r="P32" s="14">
        <f>G32/$A32</f>
        <v>0.75</v>
      </c>
      <c r="Q32" s="14">
        <f>H32/$A32</f>
        <v>1</v>
      </c>
    </row>
    <row r="33" spans="1:17" x14ac:dyDescent="0.4">
      <c r="A33" s="2">
        <v>67</v>
      </c>
      <c r="B33" s="11">
        <v>5</v>
      </c>
      <c r="C33" s="11">
        <v>15</v>
      </c>
      <c r="D33" s="11">
        <v>20</v>
      </c>
      <c r="E33" s="11">
        <v>40</v>
      </c>
      <c r="F33" s="11">
        <v>45</v>
      </c>
      <c r="G33" s="11">
        <v>50</v>
      </c>
      <c r="H33" s="11">
        <v>65</v>
      </c>
      <c r="I33" s="14"/>
      <c r="J33" s="14"/>
      <c r="K33" s="14">
        <f>B33/$A33</f>
        <v>7.4626865671641784E-2</v>
      </c>
      <c r="L33" s="14">
        <f>C33/$A33</f>
        <v>0.22388059701492538</v>
      </c>
      <c r="M33" s="14">
        <f>D33/$A33</f>
        <v>0.29850746268656714</v>
      </c>
      <c r="N33" s="14">
        <f>E33/$A33</f>
        <v>0.59701492537313428</v>
      </c>
      <c r="O33" s="14">
        <f>F33/$A33</f>
        <v>0.67164179104477617</v>
      </c>
      <c r="P33" s="14">
        <f>G33/$A33</f>
        <v>0.74626865671641796</v>
      </c>
      <c r="Q33" s="14">
        <f>H33/$A33</f>
        <v>0.97014925373134331</v>
      </c>
    </row>
    <row r="34" spans="1:17" x14ac:dyDescent="0.4">
      <c r="A34" s="2">
        <v>75</v>
      </c>
      <c r="B34" s="11">
        <v>5</v>
      </c>
      <c r="C34" s="11">
        <v>15</v>
      </c>
      <c r="D34" s="11">
        <v>25</v>
      </c>
      <c r="E34" s="11">
        <v>40</v>
      </c>
      <c r="F34" s="11">
        <v>45</v>
      </c>
      <c r="G34" s="11">
        <v>55</v>
      </c>
      <c r="H34" s="11">
        <v>70</v>
      </c>
      <c r="I34" s="14"/>
      <c r="J34" s="14"/>
      <c r="K34" s="14">
        <f>B34/$A34</f>
        <v>6.6666666666666666E-2</v>
      </c>
      <c r="L34" s="14">
        <f>C34/$A34</f>
        <v>0.2</v>
      </c>
      <c r="M34" s="14">
        <f>D34/$A34</f>
        <v>0.33333333333333331</v>
      </c>
      <c r="N34" s="14">
        <f>E34/$A34</f>
        <v>0.53333333333333333</v>
      </c>
      <c r="O34" s="14">
        <f>F34/$A34</f>
        <v>0.6</v>
      </c>
      <c r="P34" s="14">
        <f>G34/$A34</f>
        <v>0.73333333333333328</v>
      </c>
      <c r="Q34" s="14">
        <f>H34/$A34</f>
        <v>0.93333333333333335</v>
      </c>
    </row>
    <row r="35" spans="1:17" x14ac:dyDescent="0.4">
      <c r="A35" s="2">
        <v>82</v>
      </c>
      <c r="B35" s="11">
        <v>5</v>
      </c>
      <c r="C35" s="11">
        <v>15</v>
      </c>
      <c r="D35" s="11">
        <v>25</v>
      </c>
      <c r="E35" s="11">
        <v>45</v>
      </c>
      <c r="F35" s="11">
        <v>50</v>
      </c>
      <c r="G35" s="11">
        <v>60</v>
      </c>
      <c r="H35" s="11">
        <v>75</v>
      </c>
      <c r="K35">
        <f>B35/$A35</f>
        <v>6.097560975609756E-2</v>
      </c>
      <c r="L35">
        <f>C35/$A35</f>
        <v>0.18292682926829268</v>
      </c>
      <c r="M35">
        <f>D35/$A35</f>
        <v>0.3048780487804878</v>
      </c>
      <c r="N35">
        <f>E35/$A35</f>
        <v>0.54878048780487809</v>
      </c>
      <c r="O35">
        <f>F35/$A35</f>
        <v>0.6097560975609756</v>
      </c>
      <c r="P35">
        <f>G35/$A35</f>
        <v>0.73170731707317072</v>
      </c>
      <c r="Q35">
        <f>H35/$A35</f>
        <v>0.91463414634146345</v>
      </c>
    </row>
    <row r="36" spans="1:17" x14ac:dyDescent="0.4">
      <c r="A36" s="2">
        <v>90</v>
      </c>
      <c r="B36" s="11">
        <v>5</v>
      </c>
      <c r="C36" s="11">
        <v>15</v>
      </c>
      <c r="D36" s="11">
        <v>25</v>
      </c>
      <c r="E36" s="11">
        <v>45</v>
      </c>
      <c r="F36" s="11">
        <v>50</v>
      </c>
      <c r="G36" s="11">
        <v>60</v>
      </c>
      <c r="H36" s="11">
        <v>75</v>
      </c>
      <c r="K36">
        <f>B36/$A36</f>
        <v>5.5555555555555552E-2</v>
      </c>
      <c r="L36">
        <f>C36/$A36</f>
        <v>0.16666666666666666</v>
      </c>
      <c r="M36">
        <f>D36/$A36</f>
        <v>0.27777777777777779</v>
      </c>
      <c r="N36">
        <f>E36/$A36</f>
        <v>0.5</v>
      </c>
      <c r="O36">
        <f>F36/$A36</f>
        <v>0.55555555555555558</v>
      </c>
      <c r="P36">
        <f>G36/$A36</f>
        <v>0.66666666666666663</v>
      </c>
      <c r="Q36">
        <f>H36/$A36</f>
        <v>0.83333333333333337</v>
      </c>
    </row>
    <row r="37" spans="1:17" x14ac:dyDescent="0.4">
      <c r="A37" s="4" t="s">
        <v>50</v>
      </c>
      <c r="B37" s="5"/>
      <c r="C37" s="5"/>
      <c r="D37" s="5"/>
      <c r="E37" s="5"/>
      <c r="F37" s="5"/>
      <c r="G37" s="5"/>
      <c r="H37" s="5"/>
      <c r="I37" s="5"/>
    </row>
    <row r="38" spans="1:17" x14ac:dyDescent="0.4">
      <c r="I38" s="5"/>
    </row>
    <row r="39" spans="1:17" x14ac:dyDescent="0.4">
      <c r="K39" s="12"/>
    </row>
    <row r="40" spans="1:17" x14ac:dyDescent="0.4">
      <c r="K40" s="10"/>
    </row>
  </sheetData>
  <mergeCells count="4">
    <mergeCell ref="A10:H10"/>
    <mergeCell ref="K10:R10"/>
    <mergeCell ref="A25:H25"/>
    <mergeCell ref="K25:R25"/>
  </mergeCells>
  <phoneticPr fontId="2" type="noConversion"/>
  <pageMargins left="0.7" right="0.7" top="0.75" bottom="0.75" header="0.3" footer="0.3"/>
  <pageSetup paperSize="9" orientation="portrait" verticalDpi="0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32"/>
  <sheetViews>
    <sheetView topLeftCell="A3" zoomScale="90" zoomScaleNormal="90" workbookViewId="0">
      <selection activeCell="I13" sqref="I13"/>
    </sheetView>
  </sheetViews>
  <sheetFormatPr defaultRowHeight="17.399999999999999" x14ac:dyDescent="0.4"/>
  <sheetData>
    <row r="3" spans="1:18" ht="25.2" x14ac:dyDescent="0.4">
      <c r="A3" s="25" t="s">
        <v>46</v>
      </c>
      <c r="B3" s="26"/>
      <c r="C3" s="26"/>
      <c r="D3" s="26"/>
      <c r="E3" s="26"/>
      <c r="F3" s="26"/>
      <c r="G3" s="26"/>
      <c r="H3" s="26"/>
      <c r="K3" s="25" t="s">
        <v>38</v>
      </c>
      <c r="L3" s="26"/>
      <c r="M3" s="26"/>
      <c r="N3" s="26"/>
      <c r="O3" s="26"/>
      <c r="P3" s="26"/>
      <c r="Q3" s="26"/>
      <c r="R3" s="26"/>
    </row>
    <row r="5" spans="1:18" x14ac:dyDescent="0.4">
      <c r="A5" s="1" t="s">
        <v>29</v>
      </c>
      <c r="B5" t="s">
        <v>30</v>
      </c>
      <c r="C5" t="s">
        <v>9</v>
      </c>
      <c r="D5" t="s">
        <v>10</v>
      </c>
      <c r="E5" t="s">
        <v>11</v>
      </c>
      <c r="F5" t="s">
        <v>31</v>
      </c>
      <c r="G5" t="s">
        <v>32</v>
      </c>
      <c r="H5" t="s">
        <v>33</v>
      </c>
      <c r="K5" t="s">
        <v>30</v>
      </c>
      <c r="L5" t="s">
        <v>9</v>
      </c>
      <c r="M5" t="s">
        <v>10</v>
      </c>
      <c r="N5" t="s">
        <v>34</v>
      </c>
      <c r="O5" t="s">
        <v>35</v>
      </c>
      <c r="P5" t="s">
        <v>32</v>
      </c>
      <c r="Q5" t="s">
        <v>33</v>
      </c>
    </row>
    <row r="6" spans="1:18" x14ac:dyDescent="0.4">
      <c r="A6" s="3">
        <v>55</v>
      </c>
      <c r="B6" s="13">
        <v>20</v>
      </c>
      <c r="C6" s="13">
        <v>30</v>
      </c>
      <c r="D6" s="13">
        <v>40</v>
      </c>
      <c r="E6" s="13">
        <v>60</v>
      </c>
      <c r="F6" s="13">
        <v>80</v>
      </c>
      <c r="G6" s="13">
        <v>90</v>
      </c>
      <c r="H6" s="13">
        <v>120</v>
      </c>
      <c r="K6">
        <f t="shared" ref="K6:K16" si="0">B6/$A6</f>
        <v>0.36363636363636365</v>
      </c>
      <c r="L6">
        <f t="shared" ref="L6:L16" si="1">C6/$A6</f>
        <v>0.54545454545454541</v>
      </c>
      <c r="M6">
        <f t="shared" ref="M6:M16" si="2">D6/$A6</f>
        <v>0.72727272727272729</v>
      </c>
      <c r="N6">
        <f t="shared" ref="N6:N16" si="3">E6/$A6</f>
        <v>1.0909090909090908</v>
      </c>
      <c r="O6">
        <f t="shared" ref="O6:O16" si="4">F6/$A6</f>
        <v>1.4545454545454546</v>
      </c>
      <c r="P6">
        <f t="shared" ref="P6:P16" si="5">G6/$A6</f>
        <v>1.6363636363636365</v>
      </c>
      <c r="Q6">
        <f t="shared" ref="Q6:Q16" si="6">H6/$A6</f>
        <v>2.1818181818181817</v>
      </c>
    </row>
    <row r="7" spans="1:18" x14ac:dyDescent="0.4">
      <c r="A7" s="3">
        <v>60</v>
      </c>
      <c r="B7" s="13">
        <v>20</v>
      </c>
      <c r="C7" s="13">
        <v>35</v>
      </c>
      <c r="D7" s="13">
        <v>50</v>
      </c>
      <c r="E7" s="13">
        <v>65</v>
      </c>
      <c r="F7" s="13">
        <v>85</v>
      </c>
      <c r="G7" s="13">
        <v>100</v>
      </c>
      <c r="H7" s="13">
        <v>130</v>
      </c>
      <c r="K7">
        <f t="shared" si="0"/>
        <v>0.33333333333333331</v>
      </c>
      <c r="L7">
        <f t="shared" si="1"/>
        <v>0.58333333333333337</v>
      </c>
      <c r="M7">
        <f t="shared" si="2"/>
        <v>0.83333333333333337</v>
      </c>
      <c r="N7">
        <f t="shared" si="3"/>
        <v>1.0833333333333333</v>
      </c>
      <c r="O7">
        <f t="shared" si="4"/>
        <v>1.4166666666666667</v>
      </c>
      <c r="P7">
        <f t="shared" si="5"/>
        <v>1.6666666666666667</v>
      </c>
      <c r="Q7">
        <f t="shared" si="6"/>
        <v>2.1666666666666665</v>
      </c>
    </row>
    <row r="8" spans="1:18" x14ac:dyDescent="0.4">
      <c r="A8" s="3">
        <v>65</v>
      </c>
      <c r="B8" s="13">
        <v>20</v>
      </c>
      <c r="C8" s="13">
        <v>40</v>
      </c>
      <c r="D8" s="13">
        <v>50</v>
      </c>
      <c r="E8" s="13">
        <v>70</v>
      </c>
      <c r="F8" s="13">
        <v>85</v>
      </c>
      <c r="G8" s="13">
        <v>110</v>
      </c>
      <c r="H8" s="13">
        <v>140</v>
      </c>
      <c r="K8">
        <f t="shared" si="0"/>
        <v>0.30769230769230771</v>
      </c>
      <c r="L8">
        <f t="shared" si="1"/>
        <v>0.61538461538461542</v>
      </c>
      <c r="M8">
        <f t="shared" si="2"/>
        <v>0.76923076923076927</v>
      </c>
      <c r="N8">
        <f t="shared" si="3"/>
        <v>1.0769230769230769</v>
      </c>
      <c r="O8">
        <f t="shared" si="4"/>
        <v>1.3076923076923077</v>
      </c>
      <c r="P8">
        <f t="shared" si="5"/>
        <v>1.6923076923076923</v>
      </c>
      <c r="Q8">
        <f t="shared" si="6"/>
        <v>2.1538461538461537</v>
      </c>
    </row>
    <row r="9" spans="1:18" x14ac:dyDescent="0.4">
      <c r="A9" s="3">
        <v>70</v>
      </c>
      <c r="B9" s="13">
        <v>20</v>
      </c>
      <c r="C9" s="13">
        <v>45</v>
      </c>
      <c r="D9" s="13">
        <v>60</v>
      </c>
      <c r="E9" s="13">
        <v>70</v>
      </c>
      <c r="F9" s="13">
        <v>90</v>
      </c>
      <c r="G9" s="13">
        <v>115</v>
      </c>
      <c r="H9" s="13">
        <v>155</v>
      </c>
      <c r="K9">
        <f t="shared" si="0"/>
        <v>0.2857142857142857</v>
      </c>
      <c r="L9">
        <f t="shared" si="1"/>
        <v>0.6428571428571429</v>
      </c>
      <c r="M9">
        <f t="shared" si="2"/>
        <v>0.8571428571428571</v>
      </c>
      <c r="N9">
        <f t="shared" si="3"/>
        <v>1</v>
      </c>
      <c r="O9">
        <f t="shared" si="4"/>
        <v>1.2857142857142858</v>
      </c>
      <c r="P9">
        <f t="shared" si="5"/>
        <v>1.6428571428571428</v>
      </c>
      <c r="Q9">
        <f t="shared" si="6"/>
        <v>2.2142857142857144</v>
      </c>
    </row>
    <row r="10" spans="1:18" x14ac:dyDescent="0.4">
      <c r="A10" s="3">
        <v>75</v>
      </c>
      <c r="B10" s="15">
        <v>20</v>
      </c>
      <c r="C10" s="13">
        <v>50</v>
      </c>
      <c r="D10" s="13">
        <v>65</v>
      </c>
      <c r="E10" s="13">
        <v>80</v>
      </c>
      <c r="F10" s="13">
        <v>100</v>
      </c>
      <c r="G10" s="13">
        <v>120</v>
      </c>
      <c r="H10" s="13">
        <v>160</v>
      </c>
      <c r="K10">
        <f t="shared" si="0"/>
        <v>0.26666666666666666</v>
      </c>
      <c r="L10">
        <f t="shared" si="1"/>
        <v>0.66666666666666663</v>
      </c>
      <c r="M10">
        <f t="shared" si="2"/>
        <v>0.8666666666666667</v>
      </c>
      <c r="N10">
        <f t="shared" si="3"/>
        <v>1.0666666666666667</v>
      </c>
      <c r="O10">
        <f t="shared" si="4"/>
        <v>1.3333333333333333</v>
      </c>
      <c r="P10">
        <f t="shared" si="5"/>
        <v>1.6</v>
      </c>
      <c r="Q10">
        <f t="shared" si="6"/>
        <v>2.1333333333333333</v>
      </c>
    </row>
    <row r="11" spans="1:18" x14ac:dyDescent="0.4">
      <c r="A11" s="3">
        <v>82</v>
      </c>
      <c r="B11" s="13">
        <v>20</v>
      </c>
      <c r="C11" s="13">
        <v>55</v>
      </c>
      <c r="D11" s="13">
        <v>65</v>
      </c>
      <c r="E11" s="13">
        <v>85</v>
      </c>
      <c r="F11" s="13">
        <v>105</v>
      </c>
      <c r="G11" s="13">
        <v>125</v>
      </c>
      <c r="H11" s="13">
        <v>165</v>
      </c>
      <c r="K11">
        <f t="shared" si="0"/>
        <v>0.24390243902439024</v>
      </c>
      <c r="L11">
        <f t="shared" si="1"/>
        <v>0.67073170731707321</v>
      </c>
      <c r="M11">
        <f t="shared" si="2"/>
        <v>0.79268292682926833</v>
      </c>
      <c r="N11">
        <f t="shared" si="3"/>
        <v>1.0365853658536586</v>
      </c>
      <c r="O11">
        <f t="shared" si="4"/>
        <v>1.2804878048780488</v>
      </c>
      <c r="P11">
        <f t="shared" si="5"/>
        <v>1.524390243902439</v>
      </c>
      <c r="Q11">
        <f t="shared" si="6"/>
        <v>2.0121951219512195</v>
      </c>
    </row>
    <row r="12" spans="1:18" x14ac:dyDescent="0.4">
      <c r="A12" s="3">
        <v>90</v>
      </c>
      <c r="B12" s="13">
        <v>20</v>
      </c>
      <c r="C12" s="13">
        <v>60</v>
      </c>
      <c r="D12" s="13">
        <v>70</v>
      </c>
      <c r="E12" s="13">
        <v>90</v>
      </c>
      <c r="F12" s="13">
        <v>110</v>
      </c>
      <c r="G12" s="13">
        <v>130</v>
      </c>
      <c r="H12" s="13">
        <v>170</v>
      </c>
      <c r="K12">
        <f t="shared" si="0"/>
        <v>0.22222222222222221</v>
      </c>
      <c r="L12">
        <f t="shared" si="1"/>
        <v>0.66666666666666663</v>
      </c>
      <c r="M12">
        <f t="shared" si="2"/>
        <v>0.77777777777777779</v>
      </c>
      <c r="N12">
        <f t="shared" si="3"/>
        <v>1</v>
      </c>
      <c r="O12">
        <f t="shared" si="4"/>
        <v>1.2222222222222223</v>
      </c>
      <c r="P12">
        <f t="shared" si="5"/>
        <v>1.4444444444444444</v>
      </c>
      <c r="Q12">
        <f t="shared" si="6"/>
        <v>1.8888888888888888</v>
      </c>
    </row>
    <row r="13" spans="1:18" x14ac:dyDescent="0.4">
      <c r="A13" s="3">
        <v>100</v>
      </c>
      <c r="B13" s="13">
        <v>20</v>
      </c>
      <c r="C13" s="13">
        <v>65</v>
      </c>
      <c r="D13" s="13">
        <v>75</v>
      </c>
      <c r="E13" s="13">
        <v>95</v>
      </c>
      <c r="F13" s="13">
        <v>115</v>
      </c>
      <c r="G13" s="13">
        <v>140</v>
      </c>
      <c r="H13" s="13">
        <v>175</v>
      </c>
      <c r="K13">
        <f t="shared" si="0"/>
        <v>0.2</v>
      </c>
      <c r="L13">
        <f t="shared" si="1"/>
        <v>0.65</v>
      </c>
      <c r="M13">
        <f t="shared" si="2"/>
        <v>0.75</v>
      </c>
      <c r="N13">
        <f t="shared" si="3"/>
        <v>0.95</v>
      </c>
      <c r="O13">
        <f t="shared" si="4"/>
        <v>1.1499999999999999</v>
      </c>
      <c r="P13">
        <f t="shared" si="5"/>
        <v>1.4</v>
      </c>
      <c r="Q13">
        <f t="shared" si="6"/>
        <v>1.75</v>
      </c>
    </row>
    <row r="14" spans="1:18" x14ac:dyDescent="0.4">
      <c r="A14" s="3">
        <v>110</v>
      </c>
      <c r="B14" s="13">
        <v>20</v>
      </c>
      <c r="C14" s="13">
        <v>70</v>
      </c>
      <c r="D14" s="13">
        <v>75</v>
      </c>
      <c r="E14" s="13">
        <v>100</v>
      </c>
      <c r="F14" s="13">
        <v>120</v>
      </c>
      <c r="G14" s="13">
        <v>145</v>
      </c>
      <c r="H14" s="13">
        <v>180</v>
      </c>
      <c r="K14">
        <f t="shared" si="0"/>
        <v>0.18181818181818182</v>
      </c>
      <c r="L14">
        <f t="shared" si="1"/>
        <v>0.63636363636363635</v>
      </c>
      <c r="M14">
        <f t="shared" si="2"/>
        <v>0.68181818181818177</v>
      </c>
      <c r="N14">
        <f t="shared" si="3"/>
        <v>0.90909090909090906</v>
      </c>
      <c r="O14">
        <f t="shared" si="4"/>
        <v>1.0909090909090908</v>
      </c>
      <c r="P14">
        <f t="shared" si="5"/>
        <v>1.3181818181818181</v>
      </c>
      <c r="Q14">
        <f t="shared" si="6"/>
        <v>1.6363636363636365</v>
      </c>
    </row>
    <row r="15" spans="1:18" x14ac:dyDescent="0.4">
      <c r="A15" s="3">
        <v>120</v>
      </c>
      <c r="B15" s="13">
        <v>20</v>
      </c>
      <c r="C15" s="13">
        <v>75</v>
      </c>
      <c r="D15" s="13">
        <v>80</v>
      </c>
      <c r="E15" s="13">
        <v>105</v>
      </c>
      <c r="F15" s="13">
        <v>120</v>
      </c>
      <c r="G15" s="13">
        <v>150</v>
      </c>
      <c r="H15" s="13">
        <v>190</v>
      </c>
      <c r="K15">
        <f t="shared" si="0"/>
        <v>0.16666666666666666</v>
      </c>
      <c r="L15">
        <f t="shared" si="1"/>
        <v>0.625</v>
      </c>
      <c r="M15">
        <f t="shared" si="2"/>
        <v>0.66666666666666663</v>
      </c>
      <c r="N15">
        <f t="shared" si="3"/>
        <v>0.875</v>
      </c>
      <c r="O15">
        <f t="shared" si="4"/>
        <v>1</v>
      </c>
      <c r="P15">
        <f t="shared" si="5"/>
        <v>1.25</v>
      </c>
      <c r="Q15">
        <f t="shared" si="6"/>
        <v>1.5833333333333333</v>
      </c>
    </row>
    <row r="16" spans="1:18" x14ac:dyDescent="0.4">
      <c r="A16" s="3">
        <v>130</v>
      </c>
      <c r="B16" s="13">
        <v>20</v>
      </c>
      <c r="C16" s="13">
        <v>80</v>
      </c>
      <c r="D16" s="13">
        <v>85</v>
      </c>
      <c r="E16" s="13">
        <v>110</v>
      </c>
      <c r="F16" s="13">
        <v>125</v>
      </c>
      <c r="G16" s="13">
        <v>155</v>
      </c>
      <c r="H16" s="13">
        <v>210</v>
      </c>
      <c r="K16">
        <f t="shared" si="0"/>
        <v>0.15384615384615385</v>
      </c>
      <c r="L16">
        <f t="shared" si="1"/>
        <v>0.61538461538461542</v>
      </c>
      <c r="M16">
        <f t="shared" si="2"/>
        <v>0.65384615384615385</v>
      </c>
      <c r="N16">
        <f t="shared" si="3"/>
        <v>0.84615384615384615</v>
      </c>
      <c r="O16">
        <f t="shared" si="4"/>
        <v>0.96153846153846156</v>
      </c>
      <c r="P16">
        <f t="shared" si="5"/>
        <v>1.1923076923076923</v>
      </c>
      <c r="Q16">
        <f t="shared" si="6"/>
        <v>1.6153846153846154</v>
      </c>
    </row>
    <row r="18" spans="1:18" ht="27.6" x14ac:dyDescent="0.4">
      <c r="A18" s="25" t="s">
        <v>47</v>
      </c>
      <c r="B18" s="26"/>
      <c r="C18" s="26"/>
      <c r="D18" s="26"/>
      <c r="E18" s="26"/>
      <c r="F18" s="26"/>
      <c r="G18" s="26"/>
      <c r="H18" s="26"/>
      <c r="K18" s="27" t="s">
        <v>39</v>
      </c>
      <c r="L18" s="28"/>
      <c r="M18" s="28"/>
      <c r="N18" s="28"/>
      <c r="O18" s="28"/>
      <c r="P18" s="28"/>
      <c r="Q18" s="28"/>
      <c r="R18" s="28"/>
    </row>
    <row r="20" spans="1:18" x14ac:dyDescent="0.4">
      <c r="A20" s="1" t="s">
        <v>29</v>
      </c>
      <c r="B20" t="s">
        <v>30</v>
      </c>
      <c r="C20" t="s">
        <v>9</v>
      </c>
      <c r="D20" t="s">
        <v>10</v>
      </c>
      <c r="E20" t="s">
        <v>11</v>
      </c>
      <c r="F20" t="s">
        <v>31</v>
      </c>
      <c r="G20" t="s">
        <v>32</v>
      </c>
      <c r="H20" t="s">
        <v>33</v>
      </c>
      <c r="K20" t="s">
        <v>30</v>
      </c>
      <c r="L20" t="s">
        <v>9</v>
      </c>
      <c r="M20" t="s">
        <v>10</v>
      </c>
      <c r="N20" t="s">
        <v>34</v>
      </c>
      <c r="O20" t="s">
        <v>35</v>
      </c>
      <c r="P20" t="s">
        <v>32</v>
      </c>
      <c r="Q20" t="s">
        <v>33</v>
      </c>
    </row>
    <row r="21" spans="1:18" x14ac:dyDescent="0.4">
      <c r="A21" s="2">
        <v>44</v>
      </c>
      <c r="B21">
        <v>0</v>
      </c>
      <c r="C21">
        <v>5</v>
      </c>
      <c r="D21">
        <v>10</v>
      </c>
      <c r="E21">
        <v>20</v>
      </c>
      <c r="F21">
        <v>30</v>
      </c>
      <c r="G21">
        <v>50</v>
      </c>
      <c r="H21">
        <v>80</v>
      </c>
      <c r="K21">
        <f>B21/$A21</f>
        <v>0</v>
      </c>
      <c r="L21">
        <f>D21/$A21</f>
        <v>0.22727272727272727</v>
      </c>
      <c r="M21">
        <f>F21/$A21</f>
        <v>0.68181818181818177</v>
      </c>
      <c r="N21">
        <f>E21/$A21</f>
        <v>0.45454545454545453</v>
      </c>
      <c r="O21">
        <f>G21/$A21</f>
        <v>1.1363636363636365</v>
      </c>
      <c r="P21">
        <f>G21/$A21</f>
        <v>1.1363636363636365</v>
      </c>
      <c r="Q21">
        <f>H21/$A21</f>
        <v>1.8181818181818181</v>
      </c>
    </row>
    <row r="22" spans="1:18" x14ac:dyDescent="0.4">
      <c r="A22" s="2">
        <v>48</v>
      </c>
      <c r="B22">
        <v>0</v>
      </c>
      <c r="C22">
        <v>5</v>
      </c>
      <c r="D22">
        <v>10</v>
      </c>
      <c r="E22">
        <v>20</v>
      </c>
      <c r="F22">
        <v>35</v>
      </c>
      <c r="G22">
        <v>55</v>
      </c>
      <c r="H22">
        <v>90</v>
      </c>
      <c r="K22">
        <f t="shared" ref="K22:K29" si="7">B22/$A22</f>
        <v>0</v>
      </c>
      <c r="L22">
        <f t="shared" ref="L22:L29" si="8">D22/$A22</f>
        <v>0.20833333333333334</v>
      </c>
      <c r="M22">
        <f t="shared" ref="M22:M29" si="9">F22/$A22</f>
        <v>0.72916666666666663</v>
      </c>
      <c r="N22">
        <f t="shared" ref="N22:N29" si="10">E22/$A22</f>
        <v>0.41666666666666669</v>
      </c>
      <c r="O22">
        <f t="shared" ref="O22:O29" si="11">G22/$A22</f>
        <v>1.1458333333333333</v>
      </c>
      <c r="P22">
        <f t="shared" ref="P22:P29" si="12">G22/$A22</f>
        <v>1.1458333333333333</v>
      </c>
      <c r="Q22">
        <f t="shared" ref="Q22:Q29" si="13">H22/$A22</f>
        <v>1.875</v>
      </c>
    </row>
    <row r="23" spans="1:18" x14ac:dyDescent="0.4">
      <c r="A23" s="2">
        <v>52</v>
      </c>
      <c r="B23">
        <v>0</v>
      </c>
      <c r="C23">
        <v>5</v>
      </c>
      <c r="D23">
        <v>15</v>
      </c>
      <c r="E23">
        <v>20</v>
      </c>
      <c r="F23">
        <v>35</v>
      </c>
      <c r="G23">
        <v>55</v>
      </c>
      <c r="H23">
        <v>90</v>
      </c>
      <c r="K23">
        <f t="shared" si="7"/>
        <v>0</v>
      </c>
      <c r="L23">
        <f t="shared" si="8"/>
        <v>0.28846153846153844</v>
      </c>
      <c r="M23">
        <f t="shared" si="9"/>
        <v>0.67307692307692313</v>
      </c>
      <c r="N23">
        <f t="shared" si="10"/>
        <v>0.38461538461538464</v>
      </c>
      <c r="O23">
        <f t="shared" si="11"/>
        <v>1.0576923076923077</v>
      </c>
      <c r="P23">
        <f t="shared" si="12"/>
        <v>1.0576923076923077</v>
      </c>
      <c r="Q23">
        <f t="shared" si="13"/>
        <v>1.7307692307692308</v>
      </c>
    </row>
    <row r="24" spans="1:18" x14ac:dyDescent="0.4">
      <c r="A24" s="2">
        <v>56</v>
      </c>
      <c r="B24">
        <v>0</v>
      </c>
      <c r="C24">
        <v>5</v>
      </c>
      <c r="D24">
        <v>15</v>
      </c>
      <c r="E24">
        <v>25</v>
      </c>
      <c r="F24">
        <v>35</v>
      </c>
      <c r="G24">
        <v>60</v>
      </c>
      <c r="H24">
        <v>95</v>
      </c>
      <c r="K24">
        <f t="shared" si="7"/>
        <v>0</v>
      </c>
      <c r="L24">
        <f t="shared" si="8"/>
        <v>0.26785714285714285</v>
      </c>
      <c r="M24">
        <f t="shared" si="9"/>
        <v>0.625</v>
      </c>
      <c r="N24">
        <f t="shared" si="10"/>
        <v>0.44642857142857145</v>
      </c>
      <c r="O24">
        <f t="shared" si="11"/>
        <v>1.0714285714285714</v>
      </c>
      <c r="P24">
        <f t="shared" si="12"/>
        <v>1.0714285714285714</v>
      </c>
      <c r="Q24">
        <f t="shared" si="13"/>
        <v>1.6964285714285714</v>
      </c>
    </row>
    <row r="25" spans="1:18" x14ac:dyDescent="0.4">
      <c r="A25" s="2">
        <v>60</v>
      </c>
      <c r="B25">
        <v>0</v>
      </c>
      <c r="C25">
        <v>5</v>
      </c>
      <c r="D25">
        <v>15</v>
      </c>
      <c r="E25">
        <v>25</v>
      </c>
      <c r="F25">
        <v>40</v>
      </c>
      <c r="G25">
        <v>65</v>
      </c>
      <c r="H25">
        <v>100</v>
      </c>
      <c r="K25">
        <f t="shared" si="7"/>
        <v>0</v>
      </c>
      <c r="L25">
        <f t="shared" si="8"/>
        <v>0.25</v>
      </c>
      <c r="M25">
        <f t="shared" si="9"/>
        <v>0.66666666666666663</v>
      </c>
      <c r="N25">
        <f t="shared" si="10"/>
        <v>0.41666666666666669</v>
      </c>
      <c r="O25">
        <f t="shared" si="11"/>
        <v>1.0833333333333333</v>
      </c>
      <c r="P25">
        <f t="shared" si="12"/>
        <v>1.0833333333333333</v>
      </c>
      <c r="Q25">
        <f t="shared" si="13"/>
        <v>1.6666666666666667</v>
      </c>
    </row>
    <row r="26" spans="1:18" x14ac:dyDescent="0.4">
      <c r="A26" s="2">
        <v>67</v>
      </c>
      <c r="B26">
        <v>0</v>
      </c>
      <c r="C26">
        <v>10</v>
      </c>
      <c r="D26">
        <v>20</v>
      </c>
      <c r="E26">
        <v>30</v>
      </c>
      <c r="F26">
        <v>45</v>
      </c>
      <c r="G26">
        <v>70</v>
      </c>
      <c r="H26">
        <v>105</v>
      </c>
      <c r="K26">
        <f t="shared" si="7"/>
        <v>0</v>
      </c>
      <c r="L26">
        <f t="shared" si="8"/>
        <v>0.29850746268656714</v>
      </c>
      <c r="M26">
        <f t="shared" si="9"/>
        <v>0.67164179104477617</v>
      </c>
      <c r="N26">
        <f t="shared" si="10"/>
        <v>0.44776119402985076</v>
      </c>
      <c r="O26">
        <f t="shared" si="11"/>
        <v>1.044776119402985</v>
      </c>
      <c r="P26">
        <f t="shared" si="12"/>
        <v>1.044776119402985</v>
      </c>
      <c r="Q26">
        <f t="shared" si="13"/>
        <v>1.5671641791044777</v>
      </c>
    </row>
    <row r="27" spans="1:18" x14ac:dyDescent="0.4">
      <c r="A27" s="2">
        <v>75</v>
      </c>
      <c r="B27">
        <v>0</v>
      </c>
      <c r="C27">
        <v>10</v>
      </c>
      <c r="D27">
        <v>20</v>
      </c>
      <c r="E27">
        <v>30</v>
      </c>
      <c r="F27">
        <v>45</v>
      </c>
      <c r="G27">
        <v>75</v>
      </c>
      <c r="H27">
        <v>115</v>
      </c>
      <c r="K27">
        <f t="shared" si="7"/>
        <v>0</v>
      </c>
      <c r="L27">
        <f t="shared" si="8"/>
        <v>0.26666666666666666</v>
      </c>
      <c r="M27">
        <f t="shared" si="9"/>
        <v>0.6</v>
      </c>
      <c r="N27">
        <f t="shared" si="10"/>
        <v>0.4</v>
      </c>
      <c r="O27">
        <f t="shared" si="11"/>
        <v>1</v>
      </c>
      <c r="P27">
        <f t="shared" si="12"/>
        <v>1</v>
      </c>
      <c r="Q27">
        <f t="shared" si="13"/>
        <v>1.5333333333333334</v>
      </c>
    </row>
    <row r="28" spans="1:18" x14ac:dyDescent="0.4">
      <c r="A28" s="2">
        <v>82</v>
      </c>
      <c r="B28">
        <v>0</v>
      </c>
      <c r="C28">
        <v>10</v>
      </c>
      <c r="D28">
        <v>20</v>
      </c>
      <c r="E28">
        <v>35</v>
      </c>
      <c r="F28">
        <v>50</v>
      </c>
      <c r="G28">
        <v>80</v>
      </c>
      <c r="H28">
        <v>110</v>
      </c>
      <c r="K28">
        <f t="shared" si="7"/>
        <v>0</v>
      </c>
      <c r="L28">
        <f t="shared" si="8"/>
        <v>0.24390243902439024</v>
      </c>
      <c r="M28">
        <f t="shared" si="9"/>
        <v>0.6097560975609756</v>
      </c>
      <c r="N28">
        <f t="shared" si="10"/>
        <v>0.42682926829268292</v>
      </c>
      <c r="O28">
        <f t="shared" si="11"/>
        <v>0.97560975609756095</v>
      </c>
      <c r="P28">
        <f t="shared" si="12"/>
        <v>0.97560975609756095</v>
      </c>
      <c r="Q28">
        <f t="shared" si="13"/>
        <v>1.3414634146341464</v>
      </c>
    </row>
    <row r="29" spans="1:18" x14ac:dyDescent="0.4">
      <c r="A29" s="2">
        <v>90</v>
      </c>
      <c r="B29">
        <v>0</v>
      </c>
      <c r="C29">
        <v>10</v>
      </c>
      <c r="D29">
        <v>20</v>
      </c>
      <c r="E29">
        <v>35</v>
      </c>
      <c r="F29">
        <v>50</v>
      </c>
      <c r="G29">
        <v>85</v>
      </c>
      <c r="H29">
        <v>120</v>
      </c>
      <c r="K29">
        <f t="shared" si="7"/>
        <v>0</v>
      </c>
      <c r="L29">
        <f t="shared" si="8"/>
        <v>0.22222222222222221</v>
      </c>
      <c r="M29">
        <f t="shared" si="9"/>
        <v>0.55555555555555558</v>
      </c>
      <c r="N29">
        <f t="shared" si="10"/>
        <v>0.3888888888888889</v>
      </c>
      <c r="O29">
        <f t="shared" si="11"/>
        <v>0.94444444444444442</v>
      </c>
      <c r="P29">
        <f t="shared" si="12"/>
        <v>0.94444444444444442</v>
      </c>
      <c r="Q29">
        <f t="shared" si="13"/>
        <v>1.3333333333333333</v>
      </c>
    </row>
    <row r="30" spans="1:18" x14ac:dyDescent="0.4">
      <c r="A30" s="4"/>
      <c r="B30" s="5"/>
      <c r="C30" s="5"/>
      <c r="D30" s="5"/>
      <c r="E30" s="5"/>
      <c r="F30" s="5"/>
      <c r="G30" s="5"/>
      <c r="H30" s="5"/>
      <c r="I30" s="5"/>
    </row>
    <row r="31" spans="1:18" x14ac:dyDescent="0.4">
      <c r="A31" s="4"/>
      <c r="B31" s="5"/>
      <c r="C31" s="5"/>
      <c r="D31" s="5"/>
      <c r="E31" s="5"/>
      <c r="F31" s="5"/>
      <c r="G31" s="5"/>
      <c r="H31" s="5"/>
      <c r="I31" s="5"/>
    </row>
    <row r="32" spans="1:18" x14ac:dyDescent="0.4">
      <c r="A32" s="5"/>
      <c r="B32" s="5"/>
      <c r="C32" s="5"/>
      <c r="D32" s="5"/>
      <c r="E32" s="5"/>
      <c r="F32" s="5"/>
      <c r="G32" s="5"/>
      <c r="H32" s="5"/>
    </row>
  </sheetData>
  <mergeCells count="4">
    <mergeCell ref="A3:H3"/>
    <mergeCell ref="K3:R3"/>
    <mergeCell ref="A18:H18"/>
    <mergeCell ref="K18:R18"/>
  </mergeCells>
  <phoneticPr fontId="2" type="noConversion"/>
  <pageMargins left="0.7" right="0.7" top="0.75" bottom="0.75" header="0.3" footer="0.3"/>
  <pageSetup paperSize="9" orientation="portrait" verticalDpi="0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opLeftCell="A3" zoomScale="96" zoomScaleNormal="96" workbookViewId="0">
      <selection activeCell="J17" sqref="J17"/>
    </sheetView>
  </sheetViews>
  <sheetFormatPr defaultColWidth="9" defaultRowHeight="17.399999999999999" x14ac:dyDescent="0.4"/>
  <cols>
    <col min="1" max="16384" width="9" style="14"/>
  </cols>
  <sheetData>
    <row r="1" spans="1:18" x14ac:dyDescent="0.4">
      <c r="C1" s="14">
        <v>1.25</v>
      </c>
    </row>
    <row r="3" spans="1:18" ht="25.2" x14ac:dyDescent="0.4">
      <c r="A3" s="25" t="s">
        <v>132</v>
      </c>
      <c r="B3" s="26"/>
      <c r="C3" s="26"/>
      <c r="D3" s="26"/>
      <c r="E3" s="26"/>
      <c r="F3" s="26"/>
      <c r="G3" s="26"/>
      <c r="H3" s="26"/>
      <c r="K3" s="25" t="s">
        <v>133</v>
      </c>
      <c r="L3" s="26"/>
      <c r="M3" s="26"/>
      <c r="N3" s="26"/>
      <c r="O3" s="26"/>
      <c r="P3" s="26"/>
      <c r="Q3" s="26"/>
      <c r="R3" s="26"/>
    </row>
    <row r="4" spans="1:18" x14ac:dyDescent="0.4">
      <c r="A4" s="1" t="s">
        <v>29</v>
      </c>
      <c r="B4" s="14" t="s">
        <v>30</v>
      </c>
      <c r="C4" s="14" t="s">
        <v>9</v>
      </c>
      <c r="D4" s="14" t="s">
        <v>10</v>
      </c>
      <c r="E4" s="14" t="s">
        <v>11</v>
      </c>
      <c r="F4" s="14" t="s">
        <v>31</v>
      </c>
      <c r="G4" s="14" t="s">
        <v>32</v>
      </c>
      <c r="H4" s="14" t="s">
        <v>33</v>
      </c>
      <c r="K4" s="14" t="s">
        <v>30</v>
      </c>
      <c r="L4" s="14" t="s">
        <v>9</v>
      </c>
      <c r="M4" s="14" t="s">
        <v>10</v>
      </c>
      <c r="N4" s="14" t="s">
        <v>34</v>
      </c>
      <c r="O4" s="14" t="s">
        <v>35</v>
      </c>
      <c r="P4" s="14" t="s">
        <v>32</v>
      </c>
      <c r="Q4" s="14" t="s">
        <v>33</v>
      </c>
    </row>
    <row r="5" spans="1:18" x14ac:dyDescent="0.4">
      <c r="A5" s="3">
        <v>55</v>
      </c>
      <c r="B5" s="14">
        <v>20</v>
      </c>
      <c r="C5" s="14">
        <v>30</v>
      </c>
      <c r="D5" s="14">
        <v>45</v>
      </c>
      <c r="E5" s="14">
        <v>50</v>
      </c>
      <c r="F5" s="14">
        <v>65</v>
      </c>
      <c r="G5" s="14">
        <v>70</v>
      </c>
      <c r="H5" s="14">
        <v>100</v>
      </c>
      <c r="K5" s="14">
        <f t="shared" ref="K5:Q15" si="0">B5/$A5</f>
        <v>0.36363636363636365</v>
      </c>
      <c r="L5" s="14">
        <f t="shared" si="0"/>
        <v>0.54545454545454541</v>
      </c>
      <c r="M5" s="14">
        <f t="shared" si="0"/>
        <v>0.81818181818181823</v>
      </c>
      <c r="N5" s="14">
        <f t="shared" si="0"/>
        <v>0.90909090909090906</v>
      </c>
      <c r="O5" s="14">
        <f t="shared" si="0"/>
        <v>1.1818181818181819</v>
      </c>
      <c r="P5" s="14">
        <f t="shared" si="0"/>
        <v>1.2727272727272727</v>
      </c>
      <c r="Q5" s="14">
        <f t="shared" si="0"/>
        <v>1.8181818181818181</v>
      </c>
    </row>
    <row r="6" spans="1:18" x14ac:dyDescent="0.4">
      <c r="A6" s="3">
        <v>60</v>
      </c>
      <c r="B6" s="14">
        <v>20</v>
      </c>
      <c r="C6" s="14">
        <v>35</v>
      </c>
      <c r="D6" s="14">
        <v>50</v>
      </c>
      <c r="E6" s="14">
        <v>60</v>
      </c>
      <c r="F6" s="14">
        <f>87.5/(1.25)</f>
        <v>70</v>
      </c>
      <c r="G6" s="14">
        <v>90</v>
      </c>
      <c r="H6" s="14">
        <v>120</v>
      </c>
      <c r="K6" s="14">
        <f t="shared" si="0"/>
        <v>0.33333333333333331</v>
      </c>
      <c r="L6" s="14">
        <f t="shared" si="0"/>
        <v>0.58333333333333337</v>
      </c>
      <c r="M6" s="14">
        <f t="shared" si="0"/>
        <v>0.83333333333333337</v>
      </c>
      <c r="N6" s="14">
        <f t="shared" si="0"/>
        <v>1</v>
      </c>
      <c r="O6" s="14">
        <f t="shared" si="0"/>
        <v>1.1666666666666667</v>
      </c>
      <c r="P6" s="14">
        <f t="shared" si="0"/>
        <v>1.5</v>
      </c>
      <c r="Q6" s="14">
        <f t="shared" si="0"/>
        <v>2</v>
      </c>
    </row>
    <row r="7" spans="1:18" x14ac:dyDescent="0.4">
      <c r="A7" s="3">
        <v>65</v>
      </c>
      <c r="B7" s="14">
        <v>20</v>
      </c>
      <c r="C7" s="14">
        <v>40</v>
      </c>
      <c r="D7" s="14">
        <v>55</v>
      </c>
      <c r="E7" s="14">
        <v>65</v>
      </c>
      <c r="F7" s="14">
        <v>75</v>
      </c>
      <c r="G7" s="14">
        <v>100</v>
      </c>
      <c r="H7" s="14">
        <v>130</v>
      </c>
      <c r="K7" s="14">
        <f t="shared" si="0"/>
        <v>0.30769230769230771</v>
      </c>
      <c r="L7" s="14">
        <f t="shared" si="0"/>
        <v>0.61538461538461542</v>
      </c>
      <c r="M7" s="14">
        <f t="shared" si="0"/>
        <v>0.84615384615384615</v>
      </c>
      <c r="N7" s="14">
        <f t="shared" si="0"/>
        <v>1</v>
      </c>
      <c r="O7" s="14">
        <f t="shared" si="0"/>
        <v>1.1538461538461537</v>
      </c>
      <c r="P7" s="14">
        <f t="shared" si="0"/>
        <v>1.5384615384615385</v>
      </c>
      <c r="Q7" s="14">
        <f t="shared" si="0"/>
        <v>2</v>
      </c>
    </row>
    <row r="8" spans="1:18" x14ac:dyDescent="0.4">
      <c r="A8" s="3">
        <v>70</v>
      </c>
      <c r="B8" s="14">
        <v>20</v>
      </c>
      <c r="C8" s="14">
        <v>45</v>
      </c>
      <c r="D8" s="14">
        <v>60</v>
      </c>
      <c r="E8" s="14">
        <v>70</v>
      </c>
      <c r="F8" s="14">
        <v>85</v>
      </c>
      <c r="G8" s="14">
        <v>105</v>
      </c>
      <c r="H8" s="14">
        <v>135</v>
      </c>
      <c r="K8" s="14">
        <f t="shared" si="0"/>
        <v>0.2857142857142857</v>
      </c>
      <c r="L8" s="14">
        <f t="shared" si="0"/>
        <v>0.6428571428571429</v>
      </c>
      <c r="M8" s="14">
        <f t="shared" si="0"/>
        <v>0.8571428571428571</v>
      </c>
      <c r="N8" s="14">
        <f t="shared" si="0"/>
        <v>1</v>
      </c>
      <c r="O8" s="14">
        <f t="shared" si="0"/>
        <v>1.2142857142857142</v>
      </c>
      <c r="P8" s="14">
        <f t="shared" si="0"/>
        <v>1.5</v>
      </c>
      <c r="Q8" s="14">
        <f t="shared" si="0"/>
        <v>1.9285714285714286</v>
      </c>
    </row>
    <row r="9" spans="1:18" x14ac:dyDescent="0.4">
      <c r="A9" s="3">
        <v>75</v>
      </c>
      <c r="B9" s="9">
        <v>20</v>
      </c>
      <c r="C9" s="15">
        <v>45</v>
      </c>
      <c r="D9" s="14">
        <v>60</v>
      </c>
      <c r="E9" s="14">
        <v>80</v>
      </c>
      <c r="F9" s="14">
        <v>90</v>
      </c>
      <c r="G9" s="14">
        <v>110</v>
      </c>
      <c r="H9" s="14">
        <v>140</v>
      </c>
      <c r="K9" s="14">
        <f t="shared" si="0"/>
        <v>0.26666666666666666</v>
      </c>
      <c r="L9" s="14">
        <f t="shared" si="0"/>
        <v>0.6</v>
      </c>
      <c r="M9" s="14">
        <f t="shared" si="0"/>
        <v>0.8</v>
      </c>
      <c r="N9" s="14">
        <f t="shared" si="0"/>
        <v>1.0666666666666667</v>
      </c>
      <c r="O9" s="14">
        <f t="shared" si="0"/>
        <v>1.2</v>
      </c>
      <c r="P9" s="14">
        <f t="shared" si="0"/>
        <v>1.4666666666666666</v>
      </c>
      <c r="Q9" s="14">
        <f t="shared" si="0"/>
        <v>1.8666666666666667</v>
      </c>
    </row>
    <row r="10" spans="1:18" x14ac:dyDescent="0.4">
      <c r="A10" s="3">
        <v>82</v>
      </c>
      <c r="B10" s="14">
        <v>20</v>
      </c>
      <c r="C10" s="14">
        <v>50</v>
      </c>
      <c r="D10" s="14">
        <v>65</v>
      </c>
      <c r="E10" s="14">
        <v>85</v>
      </c>
      <c r="F10" s="14">
        <v>100</v>
      </c>
      <c r="G10" s="14">
        <v>120</v>
      </c>
      <c r="H10" s="14">
        <v>160</v>
      </c>
      <c r="K10" s="14">
        <f t="shared" si="0"/>
        <v>0.24390243902439024</v>
      </c>
      <c r="L10" s="14">
        <f t="shared" si="0"/>
        <v>0.6097560975609756</v>
      </c>
      <c r="M10" s="14">
        <f t="shared" si="0"/>
        <v>0.79268292682926833</v>
      </c>
      <c r="N10" s="14">
        <f t="shared" si="0"/>
        <v>1.0365853658536586</v>
      </c>
      <c r="O10" s="14">
        <f t="shared" si="0"/>
        <v>1.2195121951219512</v>
      </c>
      <c r="P10" s="14">
        <f t="shared" si="0"/>
        <v>1.4634146341463414</v>
      </c>
      <c r="Q10" s="14">
        <f t="shared" si="0"/>
        <v>1.9512195121951219</v>
      </c>
    </row>
    <row r="11" spans="1:18" x14ac:dyDescent="0.4">
      <c r="A11" s="3">
        <v>90</v>
      </c>
      <c r="B11" s="14">
        <v>20</v>
      </c>
      <c r="C11" s="14">
        <v>55</v>
      </c>
      <c r="D11" s="14">
        <v>70</v>
      </c>
      <c r="E11" s="14">
        <v>85</v>
      </c>
      <c r="F11" s="14">
        <v>105</v>
      </c>
      <c r="G11" s="14">
        <v>125</v>
      </c>
      <c r="H11" s="14">
        <v>170</v>
      </c>
      <c r="K11" s="14">
        <f t="shared" si="0"/>
        <v>0.22222222222222221</v>
      </c>
      <c r="L11" s="14">
        <f t="shared" si="0"/>
        <v>0.61111111111111116</v>
      </c>
      <c r="M11" s="14">
        <f t="shared" si="0"/>
        <v>0.77777777777777779</v>
      </c>
      <c r="N11" s="14">
        <f t="shared" si="0"/>
        <v>0.94444444444444442</v>
      </c>
      <c r="O11" s="14">
        <f t="shared" si="0"/>
        <v>1.1666666666666667</v>
      </c>
      <c r="P11" s="14">
        <f t="shared" si="0"/>
        <v>1.3888888888888888</v>
      </c>
      <c r="Q11" s="14">
        <f t="shared" si="0"/>
        <v>1.8888888888888888</v>
      </c>
    </row>
    <row r="12" spans="1:18" x14ac:dyDescent="0.4">
      <c r="A12" s="3">
        <v>100</v>
      </c>
      <c r="B12" s="14">
        <v>20</v>
      </c>
      <c r="C12" s="14">
        <v>55</v>
      </c>
      <c r="D12" s="14">
        <v>75</v>
      </c>
      <c r="E12" s="14">
        <v>90</v>
      </c>
      <c r="F12" s="14">
        <v>110</v>
      </c>
      <c r="G12" s="14">
        <v>130</v>
      </c>
      <c r="H12" s="14">
        <v>180</v>
      </c>
      <c r="K12" s="14">
        <f t="shared" si="0"/>
        <v>0.2</v>
      </c>
      <c r="L12" s="14">
        <f t="shared" si="0"/>
        <v>0.55000000000000004</v>
      </c>
      <c r="M12" s="14">
        <f t="shared" si="0"/>
        <v>0.75</v>
      </c>
      <c r="N12" s="14">
        <f t="shared" si="0"/>
        <v>0.9</v>
      </c>
      <c r="O12" s="14">
        <f t="shared" si="0"/>
        <v>1.1000000000000001</v>
      </c>
      <c r="P12" s="14">
        <f t="shared" si="0"/>
        <v>1.3</v>
      </c>
      <c r="Q12" s="14">
        <f t="shared" si="0"/>
        <v>1.8</v>
      </c>
    </row>
    <row r="13" spans="1:18" x14ac:dyDescent="0.4">
      <c r="A13" s="3">
        <v>110</v>
      </c>
      <c r="B13" s="14">
        <v>20</v>
      </c>
      <c r="C13" s="14">
        <v>60</v>
      </c>
      <c r="D13" s="14">
        <v>75</v>
      </c>
      <c r="E13" s="14">
        <v>95</v>
      </c>
      <c r="F13" s="14">
        <v>115</v>
      </c>
      <c r="G13" s="14">
        <v>145</v>
      </c>
      <c r="H13" s="14">
        <v>190</v>
      </c>
      <c r="K13" s="14">
        <f t="shared" si="0"/>
        <v>0.18181818181818182</v>
      </c>
      <c r="L13" s="14">
        <f t="shared" si="0"/>
        <v>0.54545454545454541</v>
      </c>
      <c r="M13" s="14">
        <f t="shared" si="0"/>
        <v>0.68181818181818177</v>
      </c>
      <c r="N13" s="14">
        <f t="shared" si="0"/>
        <v>0.86363636363636365</v>
      </c>
      <c r="O13" s="14">
        <f t="shared" si="0"/>
        <v>1.0454545454545454</v>
      </c>
      <c r="P13" s="14">
        <f t="shared" si="0"/>
        <v>1.3181818181818181</v>
      </c>
      <c r="Q13" s="14">
        <f t="shared" si="0"/>
        <v>1.7272727272727273</v>
      </c>
    </row>
    <row r="14" spans="1:18" x14ac:dyDescent="0.4">
      <c r="A14" s="3">
        <v>120</v>
      </c>
      <c r="B14" s="14">
        <v>20</v>
      </c>
      <c r="C14" s="14">
        <v>60</v>
      </c>
      <c r="D14" s="14">
        <v>80</v>
      </c>
      <c r="E14" s="14">
        <v>100</v>
      </c>
      <c r="F14" s="14">
        <v>115</v>
      </c>
      <c r="G14" s="14">
        <v>150</v>
      </c>
      <c r="H14" s="14">
        <v>200</v>
      </c>
      <c r="K14" s="14">
        <f t="shared" si="0"/>
        <v>0.16666666666666666</v>
      </c>
      <c r="L14" s="14">
        <f t="shared" si="0"/>
        <v>0.5</v>
      </c>
      <c r="M14" s="14">
        <f t="shared" si="0"/>
        <v>0.66666666666666663</v>
      </c>
      <c r="N14" s="14">
        <f t="shared" si="0"/>
        <v>0.83333333333333337</v>
      </c>
      <c r="O14" s="14">
        <f t="shared" si="0"/>
        <v>0.95833333333333337</v>
      </c>
      <c r="P14" s="14">
        <f t="shared" si="0"/>
        <v>1.25</v>
      </c>
      <c r="Q14" s="14">
        <f t="shared" si="0"/>
        <v>1.6666666666666667</v>
      </c>
    </row>
    <row r="15" spans="1:18" x14ac:dyDescent="0.4">
      <c r="A15" s="3">
        <v>130</v>
      </c>
      <c r="B15" s="14">
        <v>20</v>
      </c>
      <c r="C15" s="14">
        <v>65</v>
      </c>
      <c r="D15" s="14">
        <v>85</v>
      </c>
      <c r="E15" s="14">
        <v>105</v>
      </c>
      <c r="F15" s="14">
        <v>120</v>
      </c>
      <c r="G15" s="14">
        <v>155</v>
      </c>
      <c r="H15" s="14">
        <v>220</v>
      </c>
      <c r="K15" s="14">
        <f t="shared" si="0"/>
        <v>0.15384615384615385</v>
      </c>
      <c r="L15" s="14">
        <f t="shared" si="0"/>
        <v>0.5</v>
      </c>
      <c r="M15" s="14">
        <f t="shared" si="0"/>
        <v>0.65384615384615385</v>
      </c>
      <c r="N15" s="14">
        <f t="shared" si="0"/>
        <v>0.80769230769230771</v>
      </c>
      <c r="O15" s="14">
        <f t="shared" si="0"/>
        <v>0.92307692307692313</v>
      </c>
      <c r="P15" s="14">
        <f t="shared" si="0"/>
        <v>1.1923076923076923</v>
      </c>
      <c r="Q15" s="14">
        <f t="shared" si="0"/>
        <v>1.6923076923076923</v>
      </c>
    </row>
    <row r="17" spans="1:18" ht="27.6" x14ac:dyDescent="0.4">
      <c r="A17" s="25" t="s">
        <v>134</v>
      </c>
      <c r="B17" s="26"/>
      <c r="C17" s="26"/>
      <c r="D17" s="26"/>
      <c r="E17" s="26"/>
      <c r="F17" s="26"/>
      <c r="G17" s="26"/>
      <c r="H17" s="26"/>
      <c r="K17" s="27" t="s">
        <v>135</v>
      </c>
      <c r="L17" s="28"/>
      <c r="M17" s="28"/>
      <c r="N17" s="28"/>
      <c r="O17" s="28"/>
      <c r="P17" s="28"/>
      <c r="Q17" s="28"/>
      <c r="R17" s="28"/>
    </row>
    <row r="18" spans="1:18" x14ac:dyDescent="0.4">
      <c r="A18" s="1" t="s">
        <v>29</v>
      </c>
      <c r="B18" s="14" t="s">
        <v>30</v>
      </c>
      <c r="C18" s="14" t="s">
        <v>9</v>
      </c>
      <c r="D18" s="14" t="s">
        <v>10</v>
      </c>
      <c r="E18" s="14" t="s">
        <v>11</v>
      </c>
      <c r="F18" s="14" t="s">
        <v>31</v>
      </c>
      <c r="G18" s="14" t="s">
        <v>32</v>
      </c>
      <c r="H18" s="14" t="s">
        <v>33</v>
      </c>
      <c r="K18" s="14" t="s">
        <v>30</v>
      </c>
      <c r="L18" s="14" t="s">
        <v>9</v>
      </c>
      <c r="M18" s="14" t="s">
        <v>10</v>
      </c>
      <c r="N18" s="14" t="s">
        <v>34</v>
      </c>
      <c r="O18" s="14" t="s">
        <v>35</v>
      </c>
      <c r="P18" s="14" t="s">
        <v>32</v>
      </c>
      <c r="Q18" s="14" t="s">
        <v>33</v>
      </c>
    </row>
    <row r="19" spans="1:18" x14ac:dyDescent="0.4">
      <c r="A19" s="2">
        <v>44</v>
      </c>
      <c r="B19" s="14">
        <v>0</v>
      </c>
      <c r="C19" s="14">
        <v>20</v>
      </c>
      <c r="D19" s="14">
        <v>30</v>
      </c>
      <c r="E19" s="14">
        <v>35</v>
      </c>
      <c r="F19" s="14">
        <v>40</v>
      </c>
      <c r="G19" s="14">
        <v>50</v>
      </c>
      <c r="H19" s="14">
        <f>75/(1.25)</f>
        <v>60</v>
      </c>
      <c r="K19" s="14">
        <f>B19/$A19</f>
        <v>0</v>
      </c>
      <c r="L19" s="14">
        <f>D19/$A19</f>
        <v>0.68181818181818177</v>
      </c>
      <c r="M19" s="14">
        <f>F19/$A19</f>
        <v>0.90909090909090906</v>
      </c>
      <c r="N19" s="14">
        <f>E19/$A19</f>
        <v>0.79545454545454541</v>
      </c>
      <c r="O19" s="14">
        <f>G19/$A19</f>
        <v>1.1363636363636365</v>
      </c>
      <c r="P19" s="14">
        <f>G19/$A19</f>
        <v>1.1363636363636365</v>
      </c>
      <c r="Q19" s="14">
        <f>H19/$A19</f>
        <v>1.3636363636363635</v>
      </c>
    </row>
    <row r="20" spans="1:18" x14ac:dyDescent="0.4">
      <c r="A20" s="2">
        <v>48</v>
      </c>
      <c r="B20" s="14">
        <v>0</v>
      </c>
      <c r="C20" s="14">
        <v>20</v>
      </c>
      <c r="D20" s="14">
        <v>30</v>
      </c>
      <c r="E20" s="14">
        <v>35</v>
      </c>
      <c r="F20" s="14">
        <v>40</v>
      </c>
      <c r="G20" s="14">
        <v>50</v>
      </c>
      <c r="H20" s="14">
        <v>65</v>
      </c>
      <c r="K20" s="14">
        <f t="shared" ref="K20:K27" si="1">B20/$A20</f>
        <v>0</v>
      </c>
      <c r="L20" s="14">
        <f t="shared" ref="L20:L27" si="2">D20/$A20</f>
        <v>0.625</v>
      </c>
      <c r="M20" s="14">
        <f t="shared" ref="M20:M27" si="3">F20/$A20</f>
        <v>0.83333333333333337</v>
      </c>
      <c r="N20" s="14">
        <f t="shared" ref="N20:N27" si="4">E20/$A20</f>
        <v>0.72916666666666663</v>
      </c>
      <c r="O20" s="14">
        <f t="shared" ref="O20:O27" si="5">G20/$A20</f>
        <v>1.0416666666666667</v>
      </c>
      <c r="P20" s="14">
        <f t="shared" ref="P20:Q27" si="6">G20/$A20</f>
        <v>1.0416666666666667</v>
      </c>
      <c r="Q20" s="14">
        <f t="shared" si="6"/>
        <v>1.3541666666666667</v>
      </c>
    </row>
    <row r="21" spans="1:18" x14ac:dyDescent="0.4">
      <c r="A21" s="2">
        <v>52</v>
      </c>
      <c r="B21" s="14">
        <v>0</v>
      </c>
      <c r="C21" s="14">
        <v>20</v>
      </c>
      <c r="D21" s="14">
        <v>35</v>
      </c>
      <c r="E21" s="14">
        <v>40</v>
      </c>
      <c r="F21" s="14">
        <v>40</v>
      </c>
      <c r="G21" s="14">
        <v>55</v>
      </c>
      <c r="H21" s="14">
        <f>87.5/(1.25)</f>
        <v>70</v>
      </c>
      <c r="K21" s="14">
        <f t="shared" si="1"/>
        <v>0</v>
      </c>
      <c r="L21" s="14">
        <f t="shared" si="2"/>
        <v>0.67307692307692313</v>
      </c>
      <c r="M21" s="14">
        <f t="shared" si="3"/>
        <v>0.76923076923076927</v>
      </c>
      <c r="N21" s="14">
        <f t="shared" si="4"/>
        <v>0.76923076923076927</v>
      </c>
      <c r="O21" s="14">
        <f t="shared" si="5"/>
        <v>1.0576923076923077</v>
      </c>
      <c r="P21" s="14">
        <f t="shared" si="6"/>
        <v>1.0576923076923077</v>
      </c>
      <c r="Q21" s="14">
        <f t="shared" si="6"/>
        <v>1.3461538461538463</v>
      </c>
    </row>
    <row r="22" spans="1:18" x14ac:dyDescent="0.4">
      <c r="A22" s="2">
        <v>56</v>
      </c>
      <c r="B22" s="14">
        <v>0</v>
      </c>
      <c r="C22" s="14">
        <v>20</v>
      </c>
      <c r="D22" s="14">
        <v>35</v>
      </c>
      <c r="E22" s="14">
        <v>40</v>
      </c>
      <c r="F22" s="14">
        <v>45</v>
      </c>
      <c r="G22" s="14">
        <v>60</v>
      </c>
      <c r="H22" s="14">
        <v>70</v>
      </c>
      <c r="K22" s="14">
        <f t="shared" si="1"/>
        <v>0</v>
      </c>
      <c r="L22" s="14">
        <f t="shared" si="2"/>
        <v>0.625</v>
      </c>
      <c r="M22" s="14">
        <f t="shared" si="3"/>
        <v>0.8035714285714286</v>
      </c>
      <c r="N22" s="14">
        <f t="shared" si="4"/>
        <v>0.7142857142857143</v>
      </c>
      <c r="O22" s="14">
        <f t="shared" si="5"/>
        <v>1.0714285714285714</v>
      </c>
      <c r="P22" s="14">
        <f t="shared" si="6"/>
        <v>1.0714285714285714</v>
      </c>
      <c r="Q22" s="14">
        <f t="shared" si="6"/>
        <v>1.25</v>
      </c>
    </row>
    <row r="23" spans="1:18" x14ac:dyDescent="0.4">
      <c r="A23" s="2">
        <v>60</v>
      </c>
      <c r="B23" s="14">
        <v>0</v>
      </c>
      <c r="C23" s="14">
        <v>20</v>
      </c>
      <c r="D23" s="14">
        <v>35</v>
      </c>
      <c r="E23" s="14">
        <v>45</v>
      </c>
      <c r="F23" s="14">
        <v>50</v>
      </c>
      <c r="G23" s="14">
        <v>60</v>
      </c>
      <c r="H23" s="14">
        <v>75</v>
      </c>
      <c r="K23" s="14">
        <f t="shared" si="1"/>
        <v>0</v>
      </c>
      <c r="L23" s="14">
        <f t="shared" si="2"/>
        <v>0.58333333333333337</v>
      </c>
      <c r="M23" s="14">
        <f t="shared" si="3"/>
        <v>0.83333333333333337</v>
      </c>
      <c r="N23" s="14">
        <f t="shared" si="4"/>
        <v>0.75</v>
      </c>
      <c r="O23" s="14">
        <f t="shared" si="5"/>
        <v>1</v>
      </c>
      <c r="P23" s="14">
        <f t="shared" si="6"/>
        <v>1</v>
      </c>
      <c r="Q23" s="14">
        <f t="shared" si="6"/>
        <v>1.25</v>
      </c>
    </row>
    <row r="24" spans="1:18" x14ac:dyDescent="0.4">
      <c r="A24" s="2">
        <v>67</v>
      </c>
      <c r="B24" s="14">
        <v>0</v>
      </c>
      <c r="C24" s="14">
        <v>20</v>
      </c>
      <c r="D24" s="14">
        <v>40</v>
      </c>
      <c r="E24" s="14">
        <v>50</v>
      </c>
      <c r="F24" s="14">
        <v>50</v>
      </c>
      <c r="G24" s="14">
        <v>70</v>
      </c>
      <c r="H24" s="14">
        <v>85</v>
      </c>
      <c r="K24" s="14">
        <f t="shared" si="1"/>
        <v>0</v>
      </c>
      <c r="L24" s="14">
        <f t="shared" si="2"/>
        <v>0.59701492537313428</v>
      </c>
      <c r="M24" s="14">
        <f t="shared" si="3"/>
        <v>0.74626865671641796</v>
      </c>
      <c r="N24" s="14">
        <f t="shared" si="4"/>
        <v>0.74626865671641796</v>
      </c>
      <c r="O24" s="14">
        <f t="shared" si="5"/>
        <v>1.044776119402985</v>
      </c>
      <c r="P24" s="14">
        <f t="shared" si="6"/>
        <v>1.044776119402985</v>
      </c>
      <c r="Q24" s="14">
        <f t="shared" si="6"/>
        <v>1.2686567164179106</v>
      </c>
    </row>
    <row r="25" spans="1:18" x14ac:dyDescent="0.4">
      <c r="A25" s="2">
        <v>75</v>
      </c>
      <c r="B25" s="14">
        <v>0</v>
      </c>
      <c r="C25" s="14">
        <v>20</v>
      </c>
      <c r="D25" s="14">
        <v>40</v>
      </c>
      <c r="E25" s="14">
        <v>50</v>
      </c>
      <c r="F25" s="14">
        <v>55</v>
      </c>
      <c r="G25" s="14">
        <v>70</v>
      </c>
      <c r="H25" s="14">
        <v>90</v>
      </c>
      <c r="K25" s="14">
        <f t="shared" si="1"/>
        <v>0</v>
      </c>
      <c r="L25" s="14">
        <f t="shared" si="2"/>
        <v>0.53333333333333333</v>
      </c>
      <c r="M25" s="14">
        <f t="shared" si="3"/>
        <v>0.73333333333333328</v>
      </c>
      <c r="N25" s="14">
        <f t="shared" si="4"/>
        <v>0.66666666666666663</v>
      </c>
      <c r="O25" s="14">
        <f t="shared" si="5"/>
        <v>0.93333333333333335</v>
      </c>
      <c r="P25" s="14">
        <f t="shared" si="6"/>
        <v>0.93333333333333335</v>
      </c>
      <c r="Q25" s="14">
        <f t="shared" si="6"/>
        <v>1.2</v>
      </c>
    </row>
    <row r="26" spans="1:18" x14ac:dyDescent="0.4">
      <c r="A26" s="2">
        <v>82</v>
      </c>
      <c r="B26" s="14">
        <v>0</v>
      </c>
      <c r="C26" s="14">
        <v>20</v>
      </c>
      <c r="D26" s="14">
        <v>40</v>
      </c>
      <c r="E26" s="14">
        <v>55</v>
      </c>
      <c r="F26" s="14">
        <f>75/(1.25)</f>
        <v>60</v>
      </c>
      <c r="G26" s="14">
        <v>80</v>
      </c>
      <c r="H26" s="14">
        <v>90</v>
      </c>
      <c r="K26" s="14">
        <f t="shared" si="1"/>
        <v>0</v>
      </c>
      <c r="L26" s="14">
        <f t="shared" si="2"/>
        <v>0.48780487804878048</v>
      </c>
      <c r="M26" s="14">
        <f t="shared" si="3"/>
        <v>0.73170731707317072</v>
      </c>
      <c r="N26" s="14">
        <f t="shared" si="4"/>
        <v>0.67073170731707321</v>
      </c>
      <c r="O26" s="14">
        <f t="shared" si="5"/>
        <v>0.97560975609756095</v>
      </c>
      <c r="P26" s="14">
        <f t="shared" si="6"/>
        <v>0.97560975609756095</v>
      </c>
      <c r="Q26" s="14">
        <f t="shared" si="6"/>
        <v>1.0975609756097562</v>
      </c>
    </row>
    <row r="27" spans="1:18" x14ac:dyDescent="0.4">
      <c r="A27" s="2">
        <v>90</v>
      </c>
      <c r="B27" s="14">
        <v>0</v>
      </c>
      <c r="C27" s="14">
        <v>20</v>
      </c>
      <c r="D27" s="14">
        <v>40</v>
      </c>
      <c r="E27" s="14">
        <v>60</v>
      </c>
      <c r="F27" s="14">
        <v>65</v>
      </c>
      <c r="G27" s="14">
        <v>85</v>
      </c>
      <c r="H27" s="14">
        <v>105</v>
      </c>
      <c r="K27" s="14">
        <f t="shared" si="1"/>
        <v>0</v>
      </c>
      <c r="L27" s="14">
        <f t="shared" si="2"/>
        <v>0.44444444444444442</v>
      </c>
      <c r="M27" s="14">
        <f t="shared" si="3"/>
        <v>0.72222222222222221</v>
      </c>
      <c r="N27" s="14">
        <f t="shared" si="4"/>
        <v>0.66666666666666663</v>
      </c>
      <c r="O27" s="14">
        <f t="shared" si="5"/>
        <v>0.94444444444444442</v>
      </c>
      <c r="P27" s="14">
        <f t="shared" si="6"/>
        <v>0.94444444444444442</v>
      </c>
      <c r="Q27" s="14">
        <f t="shared" si="6"/>
        <v>1.1666666666666667</v>
      </c>
    </row>
    <row r="28" spans="1:18" x14ac:dyDescent="0.4">
      <c r="A28" s="4"/>
      <c r="B28" s="5"/>
      <c r="C28" s="5"/>
      <c r="D28" s="5"/>
      <c r="E28" s="5"/>
      <c r="F28" s="5"/>
      <c r="G28" s="5"/>
      <c r="H28" s="5"/>
      <c r="I28" s="5"/>
    </row>
    <row r="29" spans="1:18" x14ac:dyDescent="0.4">
      <c r="A29" s="4"/>
      <c r="B29" s="5"/>
      <c r="C29" s="5"/>
      <c r="D29" s="5"/>
      <c r="E29" s="5"/>
      <c r="F29" s="5"/>
      <c r="G29" s="5"/>
      <c r="H29" s="5"/>
      <c r="I29" s="5"/>
    </row>
  </sheetData>
  <mergeCells count="4">
    <mergeCell ref="A3:H3"/>
    <mergeCell ref="K3:R3"/>
    <mergeCell ref="A17:H17"/>
    <mergeCell ref="K17:R17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6" zoomScaleNormal="96" workbookViewId="0">
      <selection activeCell="I16" sqref="I16"/>
    </sheetView>
  </sheetViews>
  <sheetFormatPr defaultRowHeight="17.399999999999999" x14ac:dyDescent="0.4"/>
  <sheetData>
    <row r="1" spans="1:18" ht="25.2" x14ac:dyDescent="0.4">
      <c r="A1" s="25" t="s">
        <v>40</v>
      </c>
      <c r="B1" s="26"/>
      <c r="C1" s="26"/>
      <c r="D1" s="26"/>
      <c r="E1" s="26"/>
      <c r="F1" s="26"/>
      <c r="G1" s="26"/>
      <c r="H1" s="26"/>
      <c r="K1" s="25" t="s">
        <v>41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t="s">
        <v>30</v>
      </c>
      <c r="C2" t="s">
        <v>9</v>
      </c>
      <c r="D2" t="s">
        <v>10</v>
      </c>
      <c r="E2" t="s">
        <v>11</v>
      </c>
      <c r="F2" t="s">
        <v>31</v>
      </c>
      <c r="G2" t="s">
        <v>32</v>
      </c>
      <c r="H2" t="s">
        <v>33</v>
      </c>
      <c r="K2" t="s">
        <v>30</v>
      </c>
      <c r="L2" t="s">
        <v>9</v>
      </c>
      <c r="M2" t="s">
        <v>10</v>
      </c>
      <c r="N2" t="s">
        <v>34</v>
      </c>
      <c r="O2" t="s">
        <v>35</v>
      </c>
      <c r="P2" t="s">
        <v>32</v>
      </c>
      <c r="Q2" t="s">
        <v>33</v>
      </c>
    </row>
    <row r="3" spans="1:18" x14ac:dyDescent="0.4">
      <c r="A3" s="3">
        <v>55</v>
      </c>
      <c r="B3">
        <v>0</v>
      </c>
      <c r="C3" s="6">
        <v>1</v>
      </c>
      <c r="D3">
        <v>3</v>
      </c>
      <c r="E3" s="6">
        <v>6</v>
      </c>
      <c r="F3">
        <v>9</v>
      </c>
      <c r="G3">
        <v>14</v>
      </c>
      <c r="H3">
        <v>20</v>
      </c>
      <c r="K3">
        <f t="shared" ref="K3:Q3" si="0">B8/$A3</f>
        <v>0</v>
      </c>
      <c r="L3">
        <f t="shared" si="0"/>
        <v>1.8181818181818181E-2</v>
      </c>
      <c r="M3">
        <f t="shared" si="0"/>
        <v>7.2727272727272724E-2</v>
      </c>
      <c r="N3">
        <f t="shared" si="0"/>
        <v>0.14545454545454545</v>
      </c>
      <c r="O3">
        <f t="shared" si="0"/>
        <v>0.18181818181818182</v>
      </c>
      <c r="P3">
        <f t="shared" si="0"/>
        <v>0.27272727272727271</v>
      </c>
      <c r="Q3">
        <f t="shared" si="0"/>
        <v>0.45454545454545453</v>
      </c>
    </row>
    <row r="4" spans="1:18" x14ac:dyDescent="0.4">
      <c r="A4" s="3">
        <v>60</v>
      </c>
      <c r="B4">
        <v>0</v>
      </c>
      <c r="C4">
        <v>1</v>
      </c>
      <c r="D4">
        <v>3</v>
      </c>
      <c r="E4">
        <v>7</v>
      </c>
      <c r="F4">
        <v>10</v>
      </c>
      <c r="G4">
        <v>15</v>
      </c>
      <c r="H4">
        <v>25</v>
      </c>
      <c r="K4">
        <f t="shared" ref="K4:Q5" si="1">B4/$A4</f>
        <v>0</v>
      </c>
      <c r="L4">
        <f t="shared" si="1"/>
        <v>1.6666666666666666E-2</v>
      </c>
      <c r="M4">
        <f t="shared" si="1"/>
        <v>0.05</v>
      </c>
      <c r="N4">
        <f t="shared" si="1"/>
        <v>0.11666666666666667</v>
      </c>
      <c r="O4">
        <f t="shared" si="1"/>
        <v>0.16666666666666666</v>
      </c>
      <c r="P4">
        <f t="shared" si="1"/>
        <v>0.25</v>
      </c>
      <c r="Q4">
        <f t="shared" si="1"/>
        <v>0.41666666666666669</v>
      </c>
    </row>
    <row r="5" spans="1:18" x14ac:dyDescent="0.4">
      <c r="A5" s="3">
        <v>65</v>
      </c>
      <c r="B5">
        <v>0</v>
      </c>
      <c r="C5">
        <v>1</v>
      </c>
      <c r="D5">
        <v>4</v>
      </c>
      <c r="E5">
        <v>8</v>
      </c>
      <c r="F5">
        <v>12</v>
      </c>
      <c r="G5">
        <v>18</v>
      </c>
      <c r="H5">
        <v>28</v>
      </c>
      <c r="K5">
        <f t="shared" si="1"/>
        <v>0</v>
      </c>
      <c r="L5">
        <f t="shared" si="1"/>
        <v>1.5384615384615385E-2</v>
      </c>
      <c r="M5">
        <f t="shared" si="1"/>
        <v>6.1538461538461542E-2</v>
      </c>
      <c r="N5">
        <f t="shared" si="1"/>
        <v>0.12307692307692308</v>
      </c>
      <c r="O5">
        <f t="shared" si="1"/>
        <v>0.18461538461538463</v>
      </c>
      <c r="P5">
        <f t="shared" si="1"/>
        <v>0.27692307692307694</v>
      </c>
      <c r="Q5">
        <f t="shared" si="1"/>
        <v>0.43076923076923079</v>
      </c>
    </row>
    <row r="6" spans="1:18" x14ac:dyDescent="0.4">
      <c r="A6" s="3">
        <v>70</v>
      </c>
      <c r="B6">
        <v>0</v>
      </c>
      <c r="C6" s="6">
        <v>1</v>
      </c>
      <c r="D6">
        <v>4</v>
      </c>
      <c r="E6" s="6">
        <v>8</v>
      </c>
      <c r="F6">
        <v>15</v>
      </c>
      <c r="G6">
        <v>22</v>
      </c>
      <c r="H6">
        <v>30</v>
      </c>
      <c r="K6">
        <f t="shared" ref="K6:K13" si="2">B6/$A6</f>
        <v>0</v>
      </c>
      <c r="L6">
        <f t="shared" ref="L6:L13" si="3">C6/$A6</f>
        <v>1.4285714285714285E-2</v>
      </c>
      <c r="M6">
        <f t="shared" ref="M6:M13" si="4">D6/$A6</f>
        <v>5.7142857142857141E-2</v>
      </c>
      <c r="N6">
        <f t="shared" ref="N6:N13" si="5">E6/$A6</f>
        <v>0.11428571428571428</v>
      </c>
      <c r="O6">
        <f t="shared" ref="O6:O13" si="6">F6/$A6</f>
        <v>0.21428571428571427</v>
      </c>
      <c r="P6">
        <f t="shared" ref="P6:P13" si="7">G6/$A6</f>
        <v>0.31428571428571428</v>
      </c>
      <c r="Q6">
        <f t="shared" ref="Q6:Q13" si="8">H6/$A6</f>
        <v>0.42857142857142855</v>
      </c>
    </row>
    <row r="7" spans="1:18" x14ac:dyDescent="0.4">
      <c r="A7" s="3">
        <v>75</v>
      </c>
      <c r="B7">
        <v>0</v>
      </c>
      <c r="C7">
        <v>1</v>
      </c>
      <c r="D7">
        <v>4</v>
      </c>
      <c r="E7">
        <v>8</v>
      </c>
      <c r="F7">
        <v>12</v>
      </c>
      <c r="G7">
        <v>18</v>
      </c>
      <c r="H7">
        <v>28</v>
      </c>
      <c r="K7">
        <f t="shared" si="2"/>
        <v>0</v>
      </c>
      <c r="L7">
        <f t="shared" si="3"/>
        <v>1.3333333333333334E-2</v>
      </c>
      <c r="M7">
        <f t="shared" si="4"/>
        <v>5.3333333333333337E-2</v>
      </c>
      <c r="N7">
        <f t="shared" si="5"/>
        <v>0.10666666666666667</v>
      </c>
      <c r="O7">
        <f t="shared" si="6"/>
        <v>0.16</v>
      </c>
      <c r="P7">
        <f t="shared" si="7"/>
        <v>0.24</v>
      </c>
      <c r="Q7">
        <f t="shared" si="8"/>
        <v>0.37333333333333335</v>
      </c>
    </row>
    <row r="8" spans="1:18" x14ac:dyDescent="0.4">
      <c r="A8" s="3">
        <v>82</v>
      </c>
      <c r="B8">
        <v>0</v>
      </c>
      <c r="C8">
        <v>1</v>
      </c>
      <c r="D8">
        <v>4</v>
      </c>
      <c r="E8">
        <v>8</v>
      </c>
      <c r="F8">
        <v>10</v>
      </c>
      <c r="G8">
        <v>15</v>
      </c>
      <c r="H8">
        <v>25</v>
      </c>
      <c r="K8">
        <f t="shared" si="2"/>
        <v>0</v>
      </c>
      <c r="L8">
        <f t="shared" si="3"/>
        <v>1.2195121951219513E-2</v>
      </c>
      <c r="M8">
        <f t="shared" si="4"/>
        <v>4.878048780487805E-2</v>
      </c>
      <c r="N8">
        <f t="shared" si="5"/>
        <v>9.7560975609756101E-2</v>
      </c>
      <c r="O8">
        <f t="shared" si="6"/>
        <v>0.12195121951219512</v>
      </c>
      <c r="P8">
        <f t="shared" si="7"/>
        <v>0.18292682926829268</v>
      </c>
      <c r="Q8">
        <f t="shared" si="8"/>
        <v>0.3048780487804878</v>
      </c>
    </row>
    <row r="9" spans="1:18" x14ac:dyDescent="0.4">
      <c r="A9" s="3">
        <v>90</v>
      </c>
      <c r="B9">
        <v>0</v>
      </c>
      <c r="C9">
        <v>1</v>
      </c>
      <c r="D9">
        <v>3</v>
      </c>
      <c r="E9">
        <v>6</v>
      </c>
      <c r="F9">
        <v>9</v>
      </c>
      <c r="G9">
        <v>13</v>
      </c>
      <c r="H9">
        <v>20</v>
      </c>
      <c r="K9">
        <f t="shared" si="2"/>
        <v>0</v>
      </c>
      <c r="L9">
        <f t="shared" si="3"/>
        <v>1.1111111111111112E-2</v>
      </c>
      <c r="M9">
        <f t="shared" si="4"/>
        <v>3.3333333333333333E-2</v>
      </c>
      <c r="N9">
        <f t="shared" si="5"/>
        <v>6.6666666666666666E-2</v>
      </c>
      <c r="O9">
        <f t="shared" si="6"/>
        <v>0.1</v>
      </c>
      <c r="P9">
        <f t="shared" si="7"/>
        <v>0.14444444444444443</v>
      </c>
      <c r="Q9">
        <f t="shared" si="8"/>
        <v>0.22222222222222221</v>
      </c>
    </row>
    <row r="10" spans="1:18" x14ac:dyDescent="0.4">
      <c r="A10" s="3">
        <v>100</v>
      </c>
      <c r="B10">
        <v>0</v>
      </c>
      <c r="C10">
        <v>1</v>
      </c>
      <c r="D10">
        <v>3</v>
      </c>
      <c r="E10">
        <v>4</v>
      </c>
      <c r="F10">
        <v>8</v>
      </c>
      <c r="G10">
        <v>11</v>
      </c>
      <c r="H10">
        <v>15</v>
      </c>
      <c r="K10">
        <f t="shared" si="2"/>
        <v>0</v>
      </c>
      <c r="L10">
        <f t="shared" si="3"/>
        <v>0.01</v>
      </c>
      <c r="M10">
        <f t="shared" si="4"/>
        <v>0.03</v>
      </c>
      <c r="N10">
        <f t="shared" si="5"/>
        <v>0.04</v>
      </c>
      <c r="O10">
        <f t="shared" si="6"/>
        <v>0.08</v>
      </c>
      <c r="P10">
        <f t="shared" si="7"/>
        <v>0.11</v>
      </c>
      <c r="Q10">
        <f t="shared" si="8"/>
        <v>0.15</v>
      </c>
    </row>
    <row r="11" spans="1:18" x14ac:dyDescent="0.4">
      <c r="A11" s="3">
        <v>110</v>
      </c>
      <c r="B11">
        <v>0</v>
      </c>
      <c r="C11">
        <v>1</v>
      </c>
      <c r="D11">
        <v>2</v>
      </c>
      <c r="E11">
        <v>3</v>
      </c>
      <c r="F11">
        <v>7</v>
      </c>
      <c r="G11">
        <v>11</v>
      </c>
      <c r="H11">
        <v>15</v>
      </c>
      <c r="K11">
        <f t="shared" si="2"/>
        <v>0</v>
      </c>
      <c r="L11">
        <f t="shared" si="3"/>
        <v>9.0909090909090905E-3</v>
      </c>
      <c r="M11">
        <f t="shared" si="4"/>
        <v>1.8181818181818181E-2</v>
      </c>
      <c r="N11">
        <f t="shared" si="5"/>
        <v>2.7272727272727271E-2</v>
      </c>
      <c r="O11">
        <f t="shared" si="6"/>
        <v>6.363636363636363E-2</v>
      </c>
      <c r="P11">
        <f t="shared" si="7"/>
        <v>0.1</v>
      </c>
      <c r="Q11">
        <f t="shared" si="8"/>
        <v>0.13636363636363635</v>
      </c>
    </row>
    <row r="12" spans="1:18" x14ac:dyDescent="0.4">
      <c r="A12" s="3">
        <v>120</v>
      </c>
      <c r="B12">
        <v>0</v>
      </c>
      <c r="C12">
        <v>0</v>
      </c>
      <c r="D12">
        <v>1</v>
      </c>
      <c r="E12">
        <v>2</v>
      </c>
      <c r="F12">
        <v>5</v>
      </c>
      <c r="G12">
        <v>7</v>
      </c>
      <c r="H12">
        <v>10</v>
      </c>
      <c r="K12">
        <f t="shared" si="2"/>
        <v>0</v>
      </c>
      <c r="L12">
        <f t="shared" si="3"/>
        <v>0</v>
      </c>
      <c r="M12">
        <f t="shared" si="4"/>
        <v>8.3333333333333332E-3</v>
      </c>
      <c r="N12">
        <f t="shared" si="5"/>
        <v>1.6666666666666666E-2</v>
      </c>
      <c r="O12">
        <f t="shared" si="6"/>
        <v>4.1666666666666664E-2</v>
      </c>
      <c r="P12">
        <f t="shared" si="7"/>
        <v>5.8333333333333334E-2</v>
      </c>
      <c r="Q12">
        <f t="shared" si="8"/>
        <v>8.3333333333333329E-2</v>
      </c>
    </row>
    <row r="13" spans="1:18" x14ac:dyDescent="0.4">
      <c r="A13" s="3">
        <v>130</v>
      </c>
      <c r="B13">
        <v>0</v>
      </c>
      <c r="C13">
        <v>0</v>
      </c>
      <c r="D13">
        <v>1</v>
      </c>
      <c r="E13">
        <v>2</v>
      </c>
      <c r="F13">
        <v>3</v>
      </c>
      <c r="G13">
        <v>5</v>
      </c>
      <c r="H13">
        <v>8</v>
      </c>
      <c r="K13">
        <f t="shared" si="2"/>
        <v>0</v>
      </c>
      <c r="L13">
        <f t="shared" si="3"/>
        <v>0</v>
      </c>
      <c r="M13">
        <f t="shared" si="4"/>
        <v>7.6923076923076927E-3</v>
      </c>
      <c r="N13">
        <f t="shared" si="5"/>
        <v>1.5384615384615385E-2</v>
      </c>
      <c r="O13">
        <f t="shared" si="6"/>
        <v>2.3076923076923078E-2</v>
      </c>
      <c r="P13">
        <f t="shared" si="7"/>
        <v>3.8461538461538464E-2</v>
      </c>
      <c r="Q13">
        <f t="shared" si="8"/>
        <v>6.1538461538461542E-2</v>
      </c>
    </row>
    <row r="15" spans="1:18" ht="27.6" x14ac:dyDescent="0.4">
      <c r="A15" s="25" t="s">
        <v>51</v>
      </c>
      <c r="B15" s="26"/>
      <c r="C15" s="26"/>
      <c r="D15" s="26"/>
      <c r="E15" s="26"/>
      <c r="F15" s="26"/>
      <c r="G15" s="26"/>
      <c r="H15" s="26"/>
      <c r="K15" s="27" t="s">
        <v>42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t="s">
        <v>30</v>
      </c>
      <c r="C16" t="s">
        <v>9</v>
      </c>
      <c r="D16" t="s">
        <v>10</v>
      </c>
      <c r="E16" t="s">
        <v>11</v>
      </c>
      <c r="F16" t="s">
        <v>31</v>
      </c>
      <c r="G16" t="s">
        <v>32</v>
      </c>
      <c r="H16" t="s">
        <v>33</v>
      </c>
      <c r="K16" t="s">
        <v>30</v>
      </c>
      <c r="L16" t="s">
        <v>9</v>
      </c>
      <c r="M16" t="s">
        <v>10</v>
      </c>
      <c r="N16" t="s">
        <v>34</v>
      </c>
      <c r="O16" t="s">
        <v>35</v>
      </c>
      <c r="P16" t="s">
        <v>32</v>
      </c>
      <c r="Q16" t="s">
        <v>33</v>
      </c>
    </row>
    <row r="17" spans="1:17" x14ac:dyDescent="0.4">
      <c r="A17" s="2">
        <v>44</v>
      </c>
      <c r="B17" s="7">
        <v>5</v>
      </c>
      <c r="C17" s="7">
        <v>7</v>
      </c>
      <c r="D17" s="7">
        <v>10</v>
      </c>
      <c r="E17" s="7">
        <v>15</v>
      </c>
      <c r="F17" s="7">
        <v>30</v>
      </c>
      <c r="G17" s="7">
        <v>50</v>
      </c>
      <c r="H17" s="7">
        <v>70</v>
      </c>
      <c r="K17">
        <f>B17/$A17</f>
        <v>0.11363636363636363</v>
      </c>
      <c r="L17">
        <f>D17/$A17</f>
        <v>0.22727272727272727</v>
      </c>
      <c r="M17">
        <f>F17/$A17</f>
        <v>0.68181818181818177</v>
      </c>
      <c r="N17">
        <f>E17/$A17</f>
        <v>0.34090909090909088</v>
      </c>
      <c r="O17">
        <f>G17/$A17</f>
        <v>1.1363636363636365</v>
      </c>
      <c r="P17">
        <f>G17/$A17</f>
        <v>1.1363636363636365</v>
      </c>
      <c r="Q17">
        <f>H17/$A17</f>
        <v>1.5909090909090908</v>
      </c>
    </row>
    <row r="18" spans="1:17" x14ac:dyDescent="0.4">
      <c r="A18" s="2">
        <v>48</v>
      </c>
      <c r="B18" s="7">
        <v>5</v>
      </c>
      <c r="C18" s="7">
        <v>7</v>
      </c>
      <c r="D18" s="7">
        <v>10</v>
      </c>
      <c r="E18" s="7">
        <v>14</v>
      </c>
      <c r="F18" s="7">
        <v>30</v>
      </c>
      <c r="G18" s="7">
        <v>50</v>
      </c>
      <c r="H18" s="7">
        <v>65</v>
      </c>
      <c r="K18">
        <f t="shared" ref="K18:K25" si="9">B18/$A18</f>
        <v>0.10416666666666667</v>
      </c>
      <c r="L18">
        <f t="shared" ref="L18:L25" si="10">D18/$A18</f>
        <v>0.20833333333333334</v>
      </c>
      <c r="M18">
        <f t="shared" ref="M18:M25" si="11">F18/$A18</f>
        <v>0.625</v>
      </c>
      <c r="N18">
        <f t="shared" ref="N18:N25" si="12">E18/$A18</f>
        <v>0.29166666666666669</v>
      </c>
      <c r="O18">
        <f t="shared" ref="O18:O25" si="13">G18/$A18</f>
        <v>1.0416666666666667</v>
      </c>
      <c r="P18">
        <f t="shared" ref="P18:Q25" si="14">G18/$A18</f>
        <v>1.0416666666666667</v>
      </c>
      <c r="Q18">
        <f t="shared" si="14"/>
        <v>1.3541666666666667</v>
      </c>
    </row>
    <row r="19" spans="1:17" x14ac:dyDescent="0.4">
      <c r="A19" s="2">
        <v>52</v>
      </c>
      <c r="B19" s="7">
        <v>5</v>
      </c>
      <c r="C19" s="7">
        <v>7</v>
      </c>
      <c r="D19" s="7">
        <v>10</v>
      </c>
      <c r="E19" s="7">
        <v>14</v>
      </c>
      <c r="F19" s="7">
        <v>30</v>
      </c>
      <c r="G19" s="7">
        <v>60</v>
      </c>
      <c r="H19" s="7">
        <v>65</v>
      </c>
      <c r="K19">
        <f t="shared" si="9"/>
        <v>9.6153846153846159E-2</v>
      </c>
      <c r="L19">
        <f t="shared" si="10"/>
        <v>0.19230769230769232</v>
      </c>
      <c r="M19">
        <f t="shared" si="11"/>
        <v>0.57692307692307687</v>
      </c>
      <c r="N19">
        <f t="shared" si="12"/>
        <v>0.26923076923076922</v>
      </c>
      <c r="O19">
        <f t="shared" si="13"/>
        <v>1.1538461538461537</v>
      </c>
      <c r="P19">
        <f t="shared" si="14"/>
        <v>1.1538461538461537</v>
      </c>
      <c r="Q19">
        <f t="shared" si="14"/>
        <v>1.25</v>
      </c>
    </row>
    <row r="20" spans="1:17" x14ac:dyDescent="0.4">
      <c r="A20" s="2">
        <v>56</v>
      </c>
      <c r="B20" s="7">
        <v>5</v>
      </c>
      <c r="C20" s="7">
        <v>7</v>
      </c>
      <c r="D20" s="7">
        <v>10</v>
      </c>
      <c r="E20" s="7">
        <v>13</v>
      </c>
      <c r="F20" s="7">
        <v>40</v>
      </c>
      <c r="G20" s="7">
        <v>50</v>
      </c>
      <c r="H20" s="7">
        <v>60</v>
      </c>
      <c r="K20">
        <f t="shared" si="9"/>
        <v>8.9285714285714288E-2</v>
      </c>
      <c r="L20">
        <f t="shared" si="10"/>
        <v>0.17857142857142858</v>
      </c>
      <c r="M20">
        <f t="shared" si="11"/>
        <v>0.7142857142857143</v>
      </c>
      <c r="N20">
        <f t="shared" si="12"/>
        <v>0.23214285714285715</v>
      </c>
      <c r="O20">
        <f t="shared" si="13"/>
        <v>0.8928571428571429</v>
      </c>
      <c r="P20">
        <f t="shared" si="14"/>
        <v>0.8928571428571429</v>
      </c>
      <c r="Q20">
        <f t="shared" si="14"/>
        <v>1.0714285714285714</v>
      </c>
    </row>
    <row r="21" spans="1:17" x14ac:dyDescent="0.4">
      <c r="A21" s="2">
        <v>60</v>
      </c>
      <c r="B21" s="7">
        <v>5</v>
      </c>
      <c r="C21" s="7">
        <v>6</v>
      </c>
      <c r="D21" s="7">
        <v>9</v>
      </c>
      <c r="E21" s="7">
        <v>12</v>
      </c>
      <c r="F21" s="7">
        <v>35</v>
      </c>
      <c r="G21" s="7">
        <v>45</v>
      </c>
      <c r="H21" s="7">
        <v>50</v>
      </c>
      <c r="K21">
        <f t="shared" si="9"/>
        <v>8.3333333333333329E-2</v>
      </c>
      <c r="L21">
        <f t="shared" si="10"/>
        <v>0.15</v>
      </c>
      <c r="M21">
        <f t="shared" si="11"/>
        <v>0.58333333333333337</v>
      </c>
      <c r="N21">
        <f t="shared" si="12"/>
        <v>0.2</v>
      </c>
      <c r="O21">
        <f t="shared" si="13"/>
        <v>0.75</v>
      </c>
      <c r="P21">
        <f t="shared" si="14"/>
        <v>0.75</v>
      </c>
      <c r="Q21">
        <f t="shared" si="14"/>
        <v>0.83333333333333337</v>
      </c>
    </row>
    <row r="22" spans="1:17" x14ac:dyDescent="0.4">
      <c r="A22" s="2">
        <v>67</v>
      </c>
      <c r="B22" s="7">
        <v>5</v>
      </c>
      <c r="C22" s="7">
        <v>6</v>
      </c>
      <c r="D22" s="7">
        <v>9</v>
      </c>
      <c r="E22" s="7">
        <v>12</v>
      </c>
      <c r="F22" s="7">
        <v>30</v>
      </c>
      <c r="G22" s="7">
        <v>40</v>
      </c>
      <c r="H22" s="7">
        <v>50</v>
      </c>
      <c r="K22">
        <f t="shared" si="9"/>
        <v>7.4626865671641784E-2</v>
      </c>
      <c r="L22">
        <f t="shared" si="10"/>
        <v>0.13432835820895522</v>
      </c>
      <c r="M22">
        <f t="shared" si="11"/>
        <v>0.44776119402985076</v>
      </c>
      <c r="N22">
        <f t="shared" si="12"/>
        <v>0.17910447761194029</v>
      </c>
      <c r="O22">
        <f t="shared" si="13"/>
        <v>0.59701492537313428</v>
      </c>
      <c r="P22">
        <f t="shared" si="14"/>
        <v>0.59701492537313428</v>
      </c>
      <c r="Q22">
        <f t="shared" si="14"/>
        <v>0.74626865671641796</v>
      </c>
    </row>
    <row r="23" spans="1:17" x14ac:dyDescent="0.4">
      <c r="A23" s="2">
        <v>75</v>
      </c>
      <c r="B23" s="7">
        <v>4</v>
      </c>
      <c r="C23" s="7">
        <v>5</v>
      </c>
      <c r="D23" s="7">
        <v>8</v>
      </c>
      <c r="E23" s="7">
        <v>11</v>
      </c>
      <c r="F23" s="7">
        <v>25</v>
      </c>
      <c r="G23" s="7">
        <v>30</v>
      </c>
      <c r="H23" s="7">
        <v>45</v>
      </c>
      <c r="K23">
        <f t="shared" si="9"/>
        <v>5.3333333333333337E-2</v>
      </c>
      <c r="L23">
        <f t="shared" si="10"/>
        <v>0.10666666666666667</v>
      </c>
      <c r="M23">
        <f t="shared" si="11"/>
        <v>0.33333333333333331</v>
      </c>
      <c r="N23">
        <f t="shared" si="12"/>
        <v>0.14666666666666667</v>
      </c>
      <c r="O23">
        <f t="shared" si="13"/>
        <v>0.4</v>
      </c>
      <c r="P23">
        <f t="shared" si="14"/>
        <v>0.4</v>
      </c>
      <c r="Q23">
        <f t="shared" si="14"/>
        <v>0.6</v>
      </c>
    </row>
    <row r="24" spans="1:17" x14ac:dyDescent="0.4">
      <c r="A24" s="2">
        <v>82</v>
      </c>
      <c r="B24" s="7">
        <v>4</v>
      </c>
      <c r="C24" s="7">
        <v>5</v>
      </c>
      <c r="D24" s="7">
        <v>8</v>
      </c>
      <c r="E24" s="7">
        <v>11</v>
      </c>
      <c r="F24" s="7">
        <v>25</v>
      </c>
      <c r="G24" s="7">
        <v>30</v>
      </c>
      <c r="H24" s="7">
        <v>40</v>
      </c>
      <c r="K24">
        <f t="shared" si="9"/>
        <v>4.878048780487805E-2</v>
      </c>
      <c r="L24">
        <f t="shared" si="10"/>
        <v>9.7560975609756101E-2</v>
      </c>
      <c r="M24">
        <f t="shared" si="11"/>
        <v>0.3048780487804878</v>
      </c>
      <c r="N24">
        <f t="shared" si="12"/>
        <v>0.13414634146341464</v>
      </c>
      <c r="O24">
        <f t="shared" si="13"/>
        <v>0.36585365853658536</v>
      </c>
      <c r="P24">
        <f t="shared" si="14"/>
        <v>0.36585365853658536</v>
      </c>
      <c r="Q24">
        <f t="shared" si="14"/>
        <v>0.48780487804878048</v>
      </c>
    </row>
    <row r="25" spans="1:17" x14ac:dyDescent="0.4">
      <c r="A25" s="2">
        <v>90</v>
      </c>
      <c r="B25" s="7">
        <v>4</v>
      </c>
      <c r="C25" s="7">
        <v>5</v>
      </c>
      <c r="D25" s="7">
        <v>8</v>
      </c>
      <c r="E25" s="7">
        <v>11</v>
      </c>
      <c r="F25" s="7">
        <v>20</v>
      </c>
      <c r="G25" s="7">
        <v>30</v>
      </c>
      <c r="H25" s="7">
        <v>35</v>
      </c>
      <c r="K25">
        <f t="shared" si="9"/>
        <v>4.4444444444444446E-2</v>
      </c>
      <c r="L25">
        <f t="shared" si="10"/>
        <v>8.8888888888888892E-2</v>
      </c>
      <c r="M25">
        <f t="shared" si="11"/>
        <v>0.22222222222222221</v>
      </c>
      <c r="N25">
        <f t="shared" si="12"/>
        <v>0.12222222222222222</v>
      </c>
      <c r="O25">
        <f t="shared" si="13"/>
        <v>0.33333333333333331</v>
      </c>
      <c r="P25">
        <f t="shared" si="14"/>
        <v>0.33333333333333331</v>
      </c>
      <c r="Q25">
        <f t="shared" si="14"/>
        <v>0.3888888888888889</v>
      </c>
    </row>
    <row r="26" spans="1:17" x14ac:dyDescent="0.4">
      <c r="A26" s="4"/>
      <c r="B26" s="7"/>
      <c r="I26" s="5"/>
    </row>
    <row r="27" spans="1:17" x14ac:dyDescent="0.4">
      <c r="A27" s="4"/>
      <c r="B27" s="7"/>
      <c r="I27" s="5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4" zoomScaleNormal="94" workbookViewId="0">
      <selection activeCell="I14" sqref="I14"/>
    </sheetView>
  </sheetViews>
  <sheetFormatPr defaultRowHeight="17.399999999999999" x14ac:dyDescent="0.4"/>
  <sheetData>
    <row r="1" spans="1:17" ht="25.2" x14ac:dyDescent="0.4">
      <c r="A1" s="25" t="s">
        <v>45</v>
      </c>
      <c r="B1" s="26"/>
      <c r="C1" s="26"/>
      <c r="D1" s="26"/>
      <c r="E1" s="26"/>
      <c r="F1" s="26"/>
      <c r="G1" s="26"/>
      <c r="H1" s="26"/>
      <c r="J1" s="25" t="s">
        <v>43</v>
      </c>
      <c r="K1" s="26"/>
      <c r="L1" s="26"/>
      <c r="M1" s="26"/>
      <c r="N1" s="26"/>
      <c r="O1" s="26"/>
      <c r="P1" s="26"/>
      <c r="Q1" s="26"/>
    </row>
    <row r="2" spans="1:17" x14ac:dyDescent="0.4">
      <c r="A2" s="1" t="s">
        <v>29</v>
      </c>
      <c r="B2" t="s">
        <v>30</v>
      </c>
      <c r="C2" t="s">
        <v>9</v>
      </c>
      <c r="D2" t="s">
        <v>10</v>
      </c>
      <c r="E2" t="s">
        <v>11</v>
      </c>
      <c r="F2" t="s">
        <v>31</v>
      </c>
      <c r="G2" t="s">
        <v>32</v>
      </c>
      <c r="H2" t="s">
        <v>33</v>
      </c>
      <c r="J2" t="s">
        <v>30</v>
      </c>
      <c r="K2" t="s">
        <v>9</v>
      </c>
      <c r="L2" t="s">
        <v>10</v>
      </c>
      <c r="M2" t="s">
        <v>34</v>
      </c>
      <c r="N2" t="s">
        <v>35</v>
      </c>
      <c r="O2" t="s">
        <v>32</v>
      </c>
      <c r="P2" t="s">
        <v>33</v>
      </c>
    </row>
    <row r="3" spans="1:17" x14ac:dyDescent="0.4">
      <c r="A3" s="3">
        <v>55</v>
      </c>
      <c r="B3">
        <v>16</v>
      </c>
      <c r="C3" s="6">
        <v>28</v>
      </c>
      <c r="D3">
        <v>35</v>
      </c>
      <c r="E3" s="6">
        <v>44</v>
      </c>
      <c r="F3">
        <v>60</v>
      </c>
      <c r="G3">
        <v>68</v>
      </c>
      <c r="H3">
        <v>72</v>
      </c>
      <c r="J3">
        <f t="shared" ref="J3:P3" si="0">B8/$A3</f>
        <v>0.36363636363636365</v>
      </c>
      <c r="K3">
        <f t="shared" si="0"/>
        <v>0.54545454545454541</v>
      </c>
      <c r="L3">
        <f t="shared" si="0"/>
        <v>0.81818181818181823</v>
      </c>
      <c r="M3">
        <f t="shared" si="0"/>
        <v>1.1818181818181819</v>
      </c>
      <c r="N3">
        <f t="shared" si="0"/>
        <v>1.3636363636363635</v>
      </c>
      <c r="O3">
        <f t="shared" si="0"/>
        <v>1.5454545454545454</v>
      </c>
      <c r="P3">
        <f t="shared" si="0"/>
        <v>1.8181818181818181</v>
      </c>
    </row>
    <row r="4" spans="1:17" x14ac:dyDescent="0.4">
      <c r="A4" s="3">
        <v>60</v>
      </c>
      <c r="B4">
        <v>18</v>
      </c>
      <c r="C4">
        <v>30</v>
      </c>
      <c r="D4">
        <v>40</v>
      </c>
      <c r="E4">
        <v>50</v>
      </c>
      <c r="F4">
        <v>65</v>
      </c>
      <c r="G4">
        <v>72</v>
      </c>
      <c r="H4">
        <v>80</v>
      </c>
      <c r="J4">
        <f t="shared" ref="J4:P5" si="1">B4/$A4</f>
        <v>0.3</v>
      </c>
      <c r="K4">
        <f t="shared" si="1"/>
        <v>0.5</v>
      </c>
      <c r="L4">
        <f t="shared" si="1"/>
        <v>0.66666666666666663</v>
      </c>
      <c r="M4">
        <f t="shared" si="1"/>
        <v>0.83333333333333337</v>
      </c>
      <c r="N4">
        <f t="shared" si="1"/>
        <v>1.0833333333333333</v>
      </c>
      <c r="O4">
        <f t="shared" si="1"/>
        <v>1.2</v>
      </c>
      <c r="P4">
        <f t="shared" si="1"/>
        <v>1.3333333333333333</v>
      </c>
    </row>
    <row r="5" spans="1:17" x14ac:dyDescent="0.4">
      <c r="A5" s="3">
        <v>65</v>
      </c>
      <c r="B5">
        <v>20</v>
      </c>
      <c r="C5" s="6">
        <v>31</v>
      </c>
      <c r="D5">
        <v>45</v>
      </c>
      <c r="E5" s="6">
        <v>65</v>
      </c>
      <c r="F5">
        <v>72</v>
      </c>
      <c r="G5">
        <v>85</v>
      </c>
      <c r="H5">
        <v>100</v>
      </c>
      <c r="J5">
        <f t="shared" si="1"/>
        <v>0.30769230769230771</v>
      </c>
      <c r="K5">
        <f t="shared" si="1"/>
        <v>0.47692307692307695</v>
      </c>
      <c r="L5">
        <f t="shared" si="1"/>
        <v>0.69230769230769229</v>
      </c>
      <c r="M5">
        <f t="shared" si="1"/>
        <v>1</v>
      </c>
      <c r="N5">
        <f t="shared" si="1"/>
        <v>1.1076923076923078</v>
      </c>
      <c r="O5">
        <f t="shared" si="1"/>
        <v>1.3076923076923077</v>
      </c>
      <c r="P5">
        <f t="shared" si="1"/>
        <v>1.5384615384615385</v>
      </c>
    </row>
    <row r="6" spans="1:17" x14ac:dyDescent="0.4">
      <c r="A6" s="3">
        <v>70</v>
      </c>
      <c r="B6">
        <v>20</v>
      </c>
      <c r="C6" s="6">
        <v>33</v>
      </c>
      <c r="D6">
        <v>47</v>
      </c>
      <c r="E6" s="6">
        <v>70</v>
      </c>
      <c r="F6">
        <v>70</v>
      </c>
      <c r="G6">
        <v>90</v>
      </c>
      <c r="H6">
        <v>110</v>
      </c>
      <c r="J6">
        <f t="shared" ref="J6:P13" si="2">B6/$A6</f>
        <v>0.2857142857142857</v>
      </c>
      <c r="K6">
        <f t="shared" si="2"/>
        <v>0.47142857142857142</v>
      </c>
      <c r="L6">
        <f t="shared" si="2"/>
        <v>0.67142857142857137</v>
      </c>
      <c r="M6">
        <f t="shared" si="2"/>
        <v>1</v>
      </c>
      <c r="N6">
        <f t="shared" si="2"/>
        <v>1</v>
      </c>
      <c r="O6">
        <f t="shared" si="2"/>
        <v>1.2857142857142858</v>
      </c>
      <c r="P6">
        <f t="shared" si="2"/>
        <v>1.5714285714285714</v>
      </c>
    </row>
    <row r="7" spans="1:17" x14ac:dyDescent="0.4">
      <c r="A7" s="3">
        <v>75</v>
      </c>
      <c r="B7">
        <v>20</v>
      </c>
      <c r="C7" s="6">
        <v>33</v>
      </c>
      <c r="D7">
        <v>48</v>
      </c>
      <c r="E7" s="6">
        <v>70</v>
      </c>
      <c r="F7">
        <v>80</v>
      </c>
      <c r="G7">
        <v>90</v>
      </c>
      <c r="H7">
        <v>110</v>
      </c>
      <c r="J7">
        <f t="shared" si="2"/>
        <v>0.26666666666666666</v>
      </c>
      <c r="K7">
        <f t="shared" si="2"/>
        <v>0.44</v>
      </c>
      <c r="L7">
        <f t="shared" si="2"/>
        <v>0.64</v>
      </c>
      <c r="M7">
        <f t="shared" si="2"/>
        <v>0.93333333333333335</v>
      </c>
      <c r="N7">
        <f t="shared" si="2"/>
        <v>1.0666666666666667</v>
      </c>
      <c r="O7">
        <f t="shared" si="2"/>
        <v>1.2</v>
      </c>
      <c r="P7">
        <f t="shared" si="2"/>
        <v>1.4666666666666666</v>
      </c>
    </row>
    <row r="8" spans="1:17" x14ac:dyDescent="0.4">
      <c r="A8" s="3">
        <v>82</v>
      </c>
      <c r="B8">
        <v>20</v>
      </c>
      <c r="C8">
        <v>30</v>
      </c>
      <c r="D8">
        <v>45</v>
      </c>
      <c r="E8">
        <v>65</v>
      </c>
      <c r="F8">
        <v>75</v>
      </c>
      <c r="G8">
        <v>85</v>
      </c>
      <c r="H8">
        <v>100</v>
      </c>
      <c r="J8">
        <f t="shared" si="2"/>
        <v>0.24390243902439024</v>
      </c>
      <c r="K8">
        <f t="shared" si="2"/>
        <v>0.36585365853658536</v>
      </c>
      <c r="L8">
        <f t="shared" si="2"/>
        <v>0.54878048780487809</v>
      </c>
      <c r="M8">
        <f t="shared" si="2"/>
        <v>0.79268292682926833</v>
      </c>
      <c r="N8">
        <f t="shared" si="2"/>
        <v>0.91463414634146345</v>
      </c>
      <c r="O8">
        <f t="shared" si="2"/>
        <v>1.0365853658536586</v>
      </c>
      <c r="P8">
        <f t="shared" si="2"/>
        <v>1.2195121951219512</v>
      </c>
    </row>
    <row r="9" spans="1:17" x14ac:dyDescent="0.4">
      <c r="A9" s="3">
        <v>90</v>
      </c>
      <c r="B9" s="7">
        <v>18</v>
      </c>
      <c r="C9" s="7">
        <v>30</v>
      </c>
      <c r="D9" s="7">
        <v>40</v>
      </c>
      <c r="E9" s="7">
        <v>50</v>
      </c>
      <c r="F9" s="7">
        <v>65</v>
      </c>
      <c r="G9" s="7">
        <v>72</v>
      </c>
      <c r="H9" s="7">
        <v>80</v>
      </c>
      <c r="J9">
        <f t="shared" si="2"/>
        <v>0.2</v>
      </c>
      <c r="K9">
        <f t="shared" si="2"/>
        <v>0.33333333333333331</v>
      </c>
      <c r="L9">
        <f t="shared" si="2"/>
        <v>0.44444444444444442</v>
      </c>
      <c r="M9">
        <f t="shared" si="2"/>
        <v>0.55555555555555558</v>
      </c>
      <c r="N9">
        <f t="shared" si="2"/>
        <v>0.72222222222222221</v>
      </c>
      <c r="O9">
        <f t="shared" si="2"/>
        <v>0.8</v>
      </c>
      <c r="P9">
        <f t="shared" si="2"/>
        <v>0.88888888888888884</v>
      </c>
    </row>
    <row r="10" spans="1:17" x14ac:dyDescent="0.4">
      <c r="A10" s="3">
        <v>100</v>
      </c>
      <c r="B10" s="7">
        <f>B9*0.7</f>
        <v>12.6</v>
      </c>
      <c r="C10" s="7">
        <f t="shared" ref="C10:H13" si="3">C9*0.7</f>
        <v>21</v>
      </c>
      <c r="D10" s="7">
        <f t="shared" si="3"/>
        <v>28</v>
      </c>
      <c r="E10" s="7">
        <f t="shared" si="3"/>
        <v>35</v>
      </c>
      <c r="F10" s="7">
        <f t="shared" si="3"/>
        <v>45.5</v>
      </c>
      <c r="G10" s="7">
        <f t="shared" si="3"/>
        <v>50.4</v>
      </c>
      <c r="H10" s="7">
        <f t="shared" si="3"/>
        <v>56</v>
      </c>
      <c r="J10">
        <f t="shared" si="2"/>
        <v>0.126</v>
      </c>
      <c r="K10">
        <f t="shared" si="2"/>
        <v>0.21</v>
      </c>
      <c r="L10">
        <f t="shared" si="2"/>
        <v>0.28000000000000003</v>
      </c>
      <c r="M10">
        <f t="shared" si="2"/>
        <v>0.35</v>
      </c>
      <c r="N10">
        <f t="shared" si="2"/>
        <v>0.45500000000000002</v>
      </c>
      <c r="O10">
        <f t="shared" si="2"/>
        <v>0.504</v>
      </c>
      <c r="P10">
        <f t="shared" si="2"/>
        <v>0.56000000000000005</v>
      </c>
    </row>
    <row r="11" spans="1:17" x14ac:dyDescent="0.4">
      <c r="A11" s="3">
        <v>110</v>
      </c>
      <c r="B11" s="7">
        <f>B10*0.7</f>
        <v>8.8199999999999985</v>
      </c>
      <c r="C11" s="7">
        <f t="shared" si="3"/>
        <v>14.7</v>
      </c>
      <c r="D11" s="7">
        <f t="shared" si="3"/>
        <v>19.599999999999998</v>
      </c>
      <c r="E11" s="7">
        <f t="shared" si="3"/>
        <v>24.5</v>
      </c>
      <c r="F11" s="7">
        <f t="shared" si="3"/>
        <v>31.849999999999998</v>
      </c>
      <c r="G11" s="7">
        <f t="shared" si="3"/>
        <v>35.279999999999994</v>
      </c>
      <c r="H11" s="7">
        <f t="shared" si="3"/>
        <v>39.199999999999996</v>
      </c>
      <c r="J11">
        <f t="shared" si="2"/>
        <v>8.0181818181818174E-2</v>
      </c>
      <c r="K11">
        <f t="shared" si="2"/>
        <v>0.13363636363636364</v>
      </c>
      <c r="L11">
        <f t="shared" si="2"/>
        <v>0.17818181818181816</v>
      </c>
      <c r="M11">
        <f t="shared" si="2"/>
        <v>0.22272727272727272</v>
      </c>
      <c r="N11">
        <f t="shared" si="2"/>
        <v>0.28954545454545455</v>
      </c>
      <c r="O11">
        <f t="shared" si="2"/>
        <v>0.32072727272727269</v>
      </c>
      <c r="P11">
        <f t="shared" si="2"/>
        <v>0.35636363636363633</v>
      </c>
    </row>
    <row r="12" spans="1:17" x14ac:dyDescent="0.4">
      <c r="A12" s="3">
        <v>120</v>
      </c>
      <c r="B12" s="7">
        <f>B11*0.7</f>
        <v>6.1739999999999986</v>
      </c>
      <c r="C12" s="7">
        <f t="shared" si="3"/>
        <v>10.29</v>
      </c>
      <c r="D12" s="7">
        <f t="shared" si="3"/>
        <v>13.719999999999997</v>
      </c>
      <c r="E12" s="7">
        <f t="shared" si="3"/>
        <v>17.149999999999999</v>
      </c>
      <c r="F12" s="7">
        <f t="shared" si="3"/>
        <v>22.294999999999998</v>
      </c>
      <c r="G12" s="7">
        <f t="shared" si="3"/>
        <v>24.695999999999994</v>
      </c>
      <c r="H12" s="7">
        <f t="shared" si="3"/>
        <v>27.439999999999994</v>
      </c>
      <c r="J12">
        <f t="shared" si="2"/>
        <v>5.1449999999999989E-2</v>
      </c>
      <c r="K12">
        <f t="shared" si="2"/>
        <v>8.5749999999999993E-2</v>
      </c>
      <c r="L12">
        <f t="shared" si="2"/>
        <v>0.11433333333333331</v>
      </c>
      <c r="M12">
        <f t="shared" si="2"/>
        <v>0.14291666666666666</v>
      </c>
      <c r="N12">
        <f t="shared" si="2"/>
        <v>0.18579166666666666</v>
      </c>
      <c r="O12">
        <f t="shared" si="2"/>
        <v>0.20579999999999996</v>
      </c>
      <c r="P12">
        <f t="shared" si="2"/>
        <v>0.22866666666666663</v>
      </c>
    </row>
    <row r="13" spans="1:17" x14ac:dyDescent="0.4">
      <c r="A13" s="3">
        <v>130</v>
      </c>
      <c r="B13" s="7">
        <f>B12*0.7</f>
        <v>4.3217999999999988</v>
      </c>
      <c r="C13" s="7">
        <f t="shared" si="3"/>
        <v>7.2029999999999985</v>
      </c>
      <c r="D13" s="7">
        <f t="shared" si="3"/>
        <v>9.6039999999999974</v>
      </c>
      <c r="E13" s="7">
        <f t="shared" si="3"/>
        <v>12.004999999999999</v>
      </c>
      <c r="F13" s="7">
        <f t="shared" si="3"/>
        <v>15.606499999999997</v>
      </c>
      <c r="G13" s="7">
        <f t="shared" si="3"/>
        <v>17.287199999999995</v>
      </c>
      <c r="H13" s="7">
        <f t="shared" si="3"/>
        <v>19.207999999999995</v>
      </c>
      <c r="J13">
        <f t="shared" si="2"/>
        <v>3.3244615384615372E-2</v>
      </c>
      <c r="K13">
        <f t="shared" si="2"/>
        <v>5.5407692307692297E-2</v>
      </c>
      <c r="L13">
        <f t="shared" si="2"/>
        <v>7.3876923076923062E-2</v>
      </c>
      <c r="M13">
        <f t="shared" si="2"/>
        <v>9.2346153846153842E-2</v>
      </c>
      <c r="N13">
        <f t="shared" si="2"/>
        <v>0.12004999999999998</v>
      </c>
      <c r="O13">
        <f t="shared" si="2"/>
        <v>0.13297846153846149</v>
      </c>
      <c r="P13">
        <f t="shared" si="2"/>
        <v>0.14775384615384612</v>
      </c>
    </row>
    <row r="15" spans="1:17" ht="27.6" x14ac:dyDescent="0.4">
      <c r="A15" s="25" t="s">
        <v>52</v>
      </c>
      <c r="B15" s="26"/>
      <c r="C15" s="26"/>
      <c r="D15" s="26"/>
      <c r="E15" s="26"/>
      <c r="F15" s="26"/>
      <c r="G15" s="26"/>
      <c r="H15" s="26"/>
      <c r="J15" s="27" t="s">
        <v>44</v>
      </c>
      <c r="K15" s="28"/>
      <c r="L15" s="28"/>
      <c r="M15" s="28"/>
      <c r="N15" s="28"/>
      <c r="O15" s="28"/>
      <c r="P15" s="28"/>
      <c r="Q15" s="28"/>
    </row>
    <row r="16" spans="1:17" x14ac:dyDescent="0.4">
      <c r="A16" s="1" t="s">
        <v>29</v>
      </c>
      <c r="B16" t="s">
        <v>30</v>
      </c>
      <c r="C16" t="s">
        <v>9</v>
      </c>
      <c r="D16" t="s">
        <v>10</v>
      </c>
      <c r="E16" t="s">
        <v>11</v>
      </c>
      <c r="F16" t="s">
        <v>31</v>
      </c>
      <c r="G16" t="s">
        <v>32</v>
      </c>
      <c r="H16" t="s">
        <v>33</v>
      </c>
      <c r="J16" t="s">
        <v>30</v>
      </c>
      <c r="K16" t="s">
        <v>9</v>
      </c>
      <c r="L16" t="s">
        <v>10</v>
      </c>
      <c r="M16" t="s">
        <v>34</v>
      </c>
      <c r="N16" t="s">
        <v>35</v>
      </c>
      <c r="O16" t="s">
        <v>32</v>
      </c>
      <c r="P16" t="s">
        <v>33</v>
      </c>
    </row>
    <row r="17" spans="1:16" x14ac:dyDescent="0.4">
      <c r="A17" s="2">
        <v>44</v>
      </c>
      <c r="B17" s="11">
        <f>(B3/4)-4</f>
        <v>0</v>
      </c>
      <c r="C17" s="11">
        <v>1</v>
      </c>
      <c r="D17" s="11">
        <v>3</v>
      </c>
      <c r="E17" s="11">
        <v>5</v>
      </c>
      <c r="F17" s="11">
        <v>7</v>
      </c>
      <c r="G17" s="11">
        <v>9</v>
      </c>
      <c r="H17" s="11">
        <v>13</v>
      </c>
      <c r="J17">
        <f>B17/$A17</f>
        <v>0</v>
      </c>
      <c r="K17">
        <f>D17/$A17</f>
        <v>6.8181818181818177E-2</v>
      </c>
      <c r="L17">
        <f>F17/$A17</f>
        <v>0.15909090909090909</v>
      </c>
      <c r="M17">
        <f>E17/$A17</f>
        <v>0.11363636363636363</v>
      </c>
      <c r="N17">
        <f>G17/$A17</f>
        <v>0.20454545454545456</v>
      </c>
      <c r="O17">
        <f>G17/$A17</f>
        <v>0.20454545454545456</v>
      </c>
      <c r="P17">
        <f>H17/$A17</f>
        <v>0.29545454545454547</v>
      </c>
    </row>
    <row r="18" spans="1:16" x14ac:dyDescent="0.4">
      <c r="A18" s="2">
        <v>48</v>
      </c>
      <c r="B18" s="11">
        <f>(B4/4)-4</f>
        <v>0.5</v>
      </c>
      <c r="C18" s="11">
        <v>2</v>
      </c>
      <c r="D18" s="11">
        <v>3</v>
      </c>
      <c r="E18" s="11">
        <v>5</v>
      </c>
      <c r="F18" s="11">
        <v>7</v>
      </c>
      <c r="G18" s="11">
        <v>9</v>
      </c>
      <c r="H18" s="11">
        <v>13</v>
      </c>
      <c r="J18">
        <f t="shared" ref="J18:J25" si="4">B18/$A18</f>
        <v>1.0416666666666666E-2</v>
      </c>
      <c r="K18">
        <f t="shared" ref="K18:K25" si="5">D18/$A18</f>
        <v>6.25E-2</v>
      </c>
      <c r="L18">
        <f t="shared" ref="L18:L25" si="6">F18/$A18</f>
        <v>0.14583333333333334</v>
      </c>
      <c r="M18">
        <f t="shared" ref="M18:M25" si="7">E18/$A18</f>
        <v>0.10416666666666667</v>
      </c>
      <c r="N18">
        <f t="shared" ref="N18:N25" si="8">G18/$A18</f>
        <v>0.1875</v>
      </c>
      <c r="O18">
        <f t="shared" ref="O18:P25" si="9">G18/$A18</f>
        <v>0.1875</v>
      </c>
      <c r="P18">
        <f t="shared" si="9"/>
        <v>0.27083333333333331</v>
      </c>
    </row>
    <row r="19" spans="1:16" x14ac:dyDescent="0.4">
      <c r="A19" s="2">
        <v>52</v>
      </c>
      <c r="B19" s="11">
        <f>(B5/4)-4</f>
        <v>1</v>
      </c>
      <c r="C19" s="11">
        <v>2</v>
      </c>
      <c r="D19" s="11">
        <v>3</v>
      </c>
      <c r="E19" s="11">
        <v>5</v>
      </c>
      <c r="F19" s="11">
        <v>7</v>
      </c>
      <c r="G19" s="11">
        <v>9</v>
      </c>
      <c r="H19" s="11">
        <v>13</v>
      </c>
      <c r="J19">
        <f t="shared" si="4"/>
        <v>1.9230769230769232E-2</v>
      </c>
      <c r="K19">
        <f t="shared" si="5"/>
        <v>5.7692307692307696E-2</v>
      </c>
      <c r="L19">
        <f t="shared" si="6"/>
        <v>0.13461538461538461</v>
      </c>
      <c r="M19">
        <f t="shared" si="7"/>
        <v>9.6153846153846159E-2</v>
      </c>
      <c r="N19">
        <f t="shared" si="8"/>
        <v>0.17307692307692307</v>
      </c>
      <c r="O19">
        <f t="shared" si="9"/>
        <v>0.17307692307692307</v>
      </c>
      <c r="P19">
        <f t="shared" si="9"/>
        <v>0.25</v>
      </c>
    </row>
    <row r="20" spans="1:16" x14ac:dyDescent="0.4">
      <c r="A20" s="2">
        <v>56</v>
      </c>
      <c r="B20" s="11">
        <f>(B6/4)-4</f>
        <v>1</v>
      </c>
      <c r="C20" s="11">
        <v>2</v>
      </c>
      <c r="D20" s="11">
        <v>3</v>
      </c>
      <c r="E20" s="11">
        <v>4</v>
      </c>
      <c r="F20" s="11">
        <v>6</v>
      </c>
      <c r="G20" s="11">
        <v>9</v>
      </c>
      <c r="H20" s="11">
        <v>12</v>
      </c>
      <c r="J20">
        <f t="shared" si="4"/>
        <v>1.7857142857142856E-2</v>
      </c>
      <c r="K20">
        <f t="shared" si="5"/>
        <v>5.3571428571428568E-2</v>
      </c>
      <c r="L20">
        <f t="shared" si="6"/>
        <v>0.10714285714285714</v>
      </c>
      <c r="M20">
        <f t="shared" si="7"/>
        <v>7.1428571428571425E-2</v>
      </c>
      <c r="N20">
        <f t="shared" si="8"/>
        <v>0.16071428571428573</v>
      </c>
      <c r="O20">
        <f t="shared" si="9"/>
        <v>0.16071428571428573</v>
      </c>
      <c r="P20">
        <f t="shared" si="9"/>
        <v>0.21428571428571427</v>
      </c>
    </row>
    <row r="21" spans="1:16" x14ac:dyDescent="0.4">
      <c r="A21" s="2">
        <v>60</v>
      </c>
      <c r="B21" s="11">
        <f>(B7/4)-4</f>
        <v>1</v>
      </c>
      <c r="C21" s="11">
        <v>2</v>
      </c>
      <c r="D21" s="11">
        <v>4</v>
      </c>
      <c r="E21" s="11">
        <v>6</v>
      </c>
      <c r="F21" s="11">
        <v>8</v>
      </c>
      <c r="G21" s="11">
        <v>12</v>
      </c>
      <c r="H21" s="11">
        <v>15</v>
      </c>
      <c r="J21">
        <f t="shared" si="4"/>
        <v>1.6666666666666666E-2</v>
      </c>
      <c r="K21">
        <f t="shared" si="5"/>
        <v>6.6666666666666666E-2</v>
      </c>
      <c r="L21">
        <f t="shared" si="6"/>
        <v>0.13333333333333333</v>
      </c>
      <c r="M21">
        <f t="shared" si="7"/>
        <v>0.1</v>
      </c>
      <c r="N21">
        <f t="shared" si="8"/>
        <v>0.2</v>
      </c>
      <c r="O21">
        <f t="shared" si="9"/>
        <v>0.2</v>
      </c>
      <c r="P21">
        <f t="shared" si="9"/>
        <v>0.25</v>
      </c>
    </row>
    <row r="22" spans="1:16" x14ac:dyDescent="0.4">
      <c r="A22" s="2">
        <v>67</v>
      </c>
      <c r="B22" s="11">
        <f>(B8/4)-4</f>
        <v>1</v>
      </c>
      <c r="C22" s="11">
        <v>2</v>
      </c>
      <c r="D22" s="11">
        <v>4</v>
      </c>
      <c r="E22" s="11">
        <v>6</v>
      </c>
      <c r="F22" s="11">
        <v>8</v>
      </c>
      <c r="G22" s="11">
        <v>12</v>
      </c>
      <c r="H22" s="11">
        <v>15</v>
      </c>
      <c r="J22">
        <f t="shared" si="4"/>
        <v>1.4925373134328358E-2</v>
      </c>
      <c r="K22">
        <f t="shared" si="5"/>
        <v>5.9701492537313432E-2</v>
      </c>
      <c r="L22">
        <f t="shared" si="6"/>
        <v>0.11940298507462686</v>
      </c>
      <c r="M22">
        <f t="shared" si="7"/>
        <v>8.9552238805970144E-2</v>
      </c>
      <c r="N22">
        <f t="shared" si="8"/>
        <v>0.17910447761194029</v>
      </c>
      <c r="O22">
        <f t="shared" si="9"/>
        <v>0.17910447761194029</v>
      </c>
      <c r="P22">
        <f t="shared" si="9"/>
        <v>0.22388059701492538</v>
      </c>
    </row>
    <row r="23" spans="1:16" x14ac:dyDescent="0.4">
      <c r="A23" s="2">
        <v>75</v>
      </c>
      <c r="B23" s="11">
        <f>(B9/4)-4</f>
        <v>0.5</v>
      </c>
      <c r="C23" s="11">
        <v>2</v>
      </c>
      <c r="D23" s="11">
        <v>3</v>
      </c>
      <c r="E23" s="11">
        <v>5</v>
      </c>
      <c r="F23" s="11">
        <v>7</v>
      </c>
      <c r="G23" s="11">
        <v>8</v>
      </c>
      <c r="H23" s="11">
        <v>10</v>
      </c>
      <c r="J23">
        <f t="shared" si="4"/>
        <v>6.6666666666666671E-3</v>
      </c>
      <c r="K23">
        <f t="shared" si="5"/>
        <v>0.04</v>
      </c>
      <c r="L23">
        <f t="shared" si="6"/>
        <v>9.3333333333333338E-2</v>
      </c>
      <c r="M23">
        <f t="shared" si="7"/>
        <v>6.6666666666666666E-2</v>
      </c>
      <c r="N23">
        <f t="shared" si="8"/>
        <v>0.10666666666666667</v>
      </c>
      <c r="O23">
        <f t="shared" si="9"/>
        <v>0.10666666666666667</v>
      </c>
      <c r="P23">
        <f t="shared" si="9"/>
        <v>0.13333333333333333</v>
      </c>
    </row>
    <row r="24" spans="1:16" x14ac:dyDescent="0.4">
      <c r="A24" s="2">
        <v>82</v>
      </c>
      <c r="B24" s="11">
        <v>1</v>
      </c>
      <c r="C24" s="11">
        <f>(C10/4)-4</f>
        <v>1.25</v>
      </c>
      <c r="D24" s="11">
        <v>2</v>
      </c>
      <c r="E24" s="11">
        <v>3</v>
      </c>
      <c r="F24" s="11">
        <v>7</v>
      </c>
      <c r="G24" s="11">
        <v>9</v>
      </c>
      <c r="H24" s="11">
        <f t="shared" ref="H24" si="10">(H10/4)-4</f>
        <v>10</v>
      </c>
      <c r="J24">
        <f t="shared" si="4"/>
        <v>1.2195121951219513E-2</v>
      </c>
      <c r="K24">
        <f t="shared" si="5"/>
        <v>2.4390243902439025E-2</v>
      </c>
      <c r="L24">
        <f t="shared" si="6"/>
        <v>8.5365853658536592E-2</v>
      </c>
      <c r="M24">
        <f t="shared" si="7"/>
        <v>3.6585365853658534E-2</v>
      </c>
      <c r="N24">
        <f t="shared" si="8"/>
        <v>0.10975609756097561</v>
      </c>
      <c r="O24">
        <f t="shared" si="9"/>
        <v>0.10975609756097561</v>
      </c>
      <c r="P24">
        <f t="shared" si="9"/>
        <v>0.12195121951219512</v>
      </c>
    </row>
    <row r="25" spans="1:16" x14ac:dyDescent="0.4">
      <c r="A25" s="2">
        <v>90</v>
      </c>
      <c r="B25" s="11">
        <v>0</v>
      </c>
      <c r="C25" s="11">
        <v>1</v>
      </c>
      <c r="D25" s="11">
        <v>2</v>
      </c>
      <c r="E25" s="11">
        <v>4</v>
      </c>
      <c r="F25" s="11">
        <v>6</v>
      </c>
      <c r="G25" s="11">
        <v>7</v>
      </c>
      <c r="H25" s="11">
        <v>8</v>
      </c>
      <c r="J25">
        <f t="shared" si="4"/>
        <v>0</v>
      </c>
      <c r="K25">
        <f t="shared" si="5"/>
        <v>2.2222222222222223E-2</v>
      </c>
      <c r="L25">
        <f t="shared" si="6"/>
        <v>6.6666666666666666E-2</v>
      </c>
      <c r="M25">
        <f t="shared" si="7"/>
        <v>4.4444444444444446E-2</v>
      </c>
      <c r="N25">
        <f t="shared" si="8"/>
        <v>7.7777777777777779E-2</v>
      </c>
      <c r="O25">
        <f t="shared" si="9"/>
        <v>7.7777777777777779E-2</v>
      </c>
      <c r="P25">
        <f t="shared" si="9"/>
        <v>8.8888888888888892E-2</v>
      </c>
    </row>
    <row r="26" spans="1:16" x14ac:dyDescent="0.4">
      <c r="A26" s="4"/>
      <c r="B26" s="7"/>
    </row>
    <row r="27" spans="1:16" x14ac:dyDescent="0.4">
      <c r="A27" s="4"/>
      <c r="B27" s="7"/>
    </row>
  </sheetData>
  <mergeCells count="4">
    <mergeCell ref="A1:H1"/>
    <mergeCell ref="J1:Q1"/>
    <mergeCell ref="A15:H15"/>
    <mergeCell ref="J15:Q15"/>
  </mergeCells>
  <phoneticPr fontId="2" type="noConversion"/>
  <pageMargins left="0.7" right="0.7" top="0.75" bottom="0.75" header="0.3" footer="0.3"/>
  <pageSetup paperSize="9" orientation="portrait" verticalDpi="0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zoomScale="94" zoomScaleNormal="94" workbookViewId="0">
      <selection activeCell="J15" sqref="J15"/>
    </sheetView>
  </sheetViews>
  <sheetFormatPr defaultRowHeight="17.399999999999999" x14ac:dyDescent="0.4"/>
  <sheetData>
    <row r="1" spans="1:18" ht="25.2" x14ac:dyDescent="0.4">
      <c r="A1" s="25" t="s">
        <v>53</v>
      </c>
      <c r="B1" s="26"/>
      <c r="C1" s="26"/>
      <c r="D1" s="26"/>
      <c r="E1" s="26"/>
      <c r="F1" s="26"/>
      <c r="G1" s="26"/>
      <c r="H1" s="26"/>
      <c r="I1" s="14"/>
      <c r="J1" s="14"/>
      <c r="K1" s="25" t="s">
        <v>54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I2" s="14"/>
      <c r="J2" s="14"/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  <c r="R2" s="14"/>
    </row>
    <row r="3" spans="1:18" x14ac:dyDescent="0.4">
      <c r="A3" s="3">
        <v>55</v>
      </c>
      <c r="B3" s="14">
        <v>13</v>
      </c>
      <c r="C3" s="14">
        <v>20</v>
      </c>
      <c r="D3" s="14">
        <v>24</v>
      </c>
      <c r="E3" s="14">
        <v>28</v>
      </c>
      <c r="F3" s="14">
        <v>35</v>
      </c>
      <c r="G3" s="14">
        <v>42</v>
      </c>
      <c r="H3" s="14">
        <v>51</v>
      </c>
      <c r="I3" s="14"/>
      <c r="J3" s="14"/>
      <c r="K3" s="14">
        <f t="shared" ref="K3:Q13" si="0">B3/$A3</f>
        <v>0.23636363636363636</v>
      </c>
      <c r="L3" s="14">
        <f t="shared" si="0"/>
        <v>0.36363636363636365</v>
      </c>
      <c r="M3" s="14">
        <f t="shared" si="0"/>
        <v>0.43636363636363634</v>
      </c>
      <c r="N3" s="14">
        <f t="shared" si="0"/>
        <v>0.50909090909090904</v>
      </c>
      <c r="O3" s="14">
        <f t="shared" si="0"/>
        <v>0.63636363636363635</v>
      </c>
      <c r="P3" s="14">
        <f t="shared" si="0"/>
        <v>0.76363636363636367</v>
      </c>
      <c r="Q3" s="14">
        <f t="shared" si="0"/>
        <v>0.92727272727272725</v>
      </c>
      <c r="R3" s="14"/>
    </row>
    <row r="4" spans="1:18" x14ac:dyDescent="0.4">
      <c r="A4" s="3">
        <v>60</v>
      </c>
      <c r="B4" s="14">
        <v>13</v>
      </c>
      <c r="C4" s="14">
        <v>22</v>
      </c>
      <c r="D4" s="14">
        <v>26</v>
      </c>
      <c r="E4" s="14">
        <v>31</v>
      </c>
      <c r="F4" s="14">
        <v>38</v>
      </c>
      <c r="G4" s="14">
        <v>45</v>
      </c>
      <c r="H4" s="14">
        <v>54</v>
      </c>
      <c r="I4" s="14"/>
      <c r="J4" s="14"/>
      <c r="K4" s="14">
        <f t="shared" si="0"/>
        <v>0.21666666666666667</v>
      </c>
      <c r="L4" s="14">
        <f t="shared" si="0"/>
        <v>0.36666666666666664</v>
      </c>
      <c r="M4" s="14">
        <f t="shared" si="0"/>
        <v>0.43333333333333335</v>
      </c>
      <c r="N4" s="14">
        <f t="shared" si="0"/>
        <v>0.51666666666666672</v>
      </c>
      <c r="O4" s="14">
        <f t="shared" si="0"/>
        <v>0.6333333333333333</v>
      </c>
      <c r="P4" s="14">
        <f t="shared" si="0"/>
        <v>0.75</v>
      </c>
      <c r="Q4" s="14">
        <f t="shared" si="0"/>
        <v>0.9</v>
      </c>
      <c r="R4" s="14"/>
    </row>
    <row r="5" spans="1:18" x14ac:dyDescent="0.4">
      <c r="A5" s="3">
        <v>65</v>
      </c>
      <c r="B5" s="14">
        <v>14</v>
      </c>
      <c r="C5" s="14">
        <v>25</v>
      </c>
      <c r="D5" s="14">
        <v>29</v>
      </c>
      <c r="E5" s="14">
        <v>34</v>
      </c>
      <c r="F5" s="14">
        <v>43</v>
      </c>
      <c r="G5" s="14">
        <v>51</v>
      </c>
      <c r="H5" s="14">
        <v>62</v>
      </c>
      <c r="I5" s="14"/>
      <c r="J5" s="14"/>
      <c r="K5" s="14">
        <f t="shared" si="0"/>
        <v>0.2153846153846154</v>
      </c>
      <c r="L5" s="14">
        <f t="shared" si="0"/>
        <v>0.38461538461538464</v>
      </c>
      <c r="M5" s="14">
        <f t="shared" si="0"/>
        <v>0.44615384615384618</v>
      </c>
      <c r="N5" s="14">
        <f t="shared" si="0"/>
        <v>0.52307692307692311</v>
      </c>
      <c r="O5" s="14">
        <f t="shared" si="0"/>
        <v>0.66153846153846152</v>
      </c>
      <c r="P5" s="14">
        <f t="shared" si="0"/>
        <v>0.7846153846153846</v>
      </c>
      <c r="Q5" s="14">
        <f t="shared" si="0"/>
        <v>0.9538461538461539</v>
      </c>
      <c r="R5" s="14"/>
    </row>
    <row r="6" spans="1:18" x14ac:dyDescent="0.4">
      <c r="A6" s="3">
        <v>70</v>
      </c>
      <c r="B6" s="14">
        <v>14</v>
      </c>
      <c r="C6" s="14">
        <v>26</v>
      </c>
      <c r="D6" s="14">
        <v>30</v>
      </c>
      <c r="E6" s="15">
        <v>35</v>
      </c>
      <c r="F6" s="14">
        <v>45</v>
      </c>
      <c r="G6" s="14">
        <v>53</v>
      </c>
      <c r="H6" s="14">
        <v>64</v>
      </c>
      <c r="I6" s="14"/>
      <c r="J6" s="14"/>
      <c r="K6" s="14">
        <f t="shared" si="0"/>
        <v>0.2</v>
      </c>
      <c r="L6" s="14">
        <f t="shared" si="0"/>
        <v>0.37142857142857144</v>
      </c>
      <c r="M6" s="14">
        <f t="shared" si="0"/>
        <v>0.42857142857142855</v>
      </c>
      <c r="N6" s="14">
        <f t="shared" si="0"/>
        <v>0.5</v>
      </c>
      <c r="O6" s="14">
        <f t="shared" si="0"/>
        <v>0.6428571428571429</v>
      </c>
      <c r="P6" s="14">
        <f t="shared" si="0"/>
        <v>0.75714285714285712</v>
      </c>
      <c r="Q6" s="14">
        <f t="shared" si="0"/>
        <v>0.91428571428571426</v>
      </c>
      <c r="R6" s="14"/>
    </row>
    <row r="7" spans="1:18" x14ac:dyDescent="0.4">
      <c r="A7" s="3">
        <v>75</v>
      </c>
      <c r="B7" s="9">
        <v>15</v>
      </c>
      <c r="C7" s="14">
        <v>27</v>
      </c>
      <c r="D7" s="14">
        <v>32</v>
      </c>
      <c r="E7" s="14">
        <v>37</v>
      </c>
      <c r="F7" s="14">
        <v>47</v>
      </c>
      <c r="G7" s="14">
        <v>55</v>
      </c>
      <c r="H7" s="14">
        <v>67</v>
      </c>
      <c r="I7" s="14"/>
      <c r="J7" s="14"/>
      <c r="K7" s="14">
        <f t="shared" si="0"/>
        <v>0.2</v>
      </c>
      <c r="L7" s="14">
        <f t="shared" si="0"/>
        <v>0.36</v>
      </c>
      <c r="M7" s="14">
        <f t="shared" si="0"/>
        <v>0.42666666666666669</v>
      </c>
      <c r="N7" s="14">
        <f t="shared" si="0"/>
        <v>0.49333333333333335</v>
      </c>
      <c r="O7" s="14">
        <f t="shared" si="0"/>
        <v>0.62666666666666671</v>
      </c>
      <c r="P7" s="14">
        <f t="shared" si="0"/>
        <v>0.73333333333333328</v>
      </c>
      <c r="Q7" s="14">
        <f t="shared" si="0"/>
        <v>0.89333333333333331</v>
      </c>
      <c r="R7" s="14"/>
    </row>
    <row r="8" spans="1:18" x14ac:dyDescent="0.4">
      <c r="A8" s="3">
        <v>82</v>
      </c>
      <c r="B8" s="14">
        <v>16</v>
      </c>
      <c r="C8" s="14">
        <v>30</v>
      </c>
      <c r="D8" s="14">
        <v>35</v>
      </c>
      <c r="E8" s="14">
        <v>40</v>
      </c>
      <c r="F8" s="14">
        <v>50</v>
      </c>
      <c r="G8" s="14">
        <v>59</v>
      </c>
      <c r="H8" s="14">
        <v>79</v>
      </c>
      <c r="I8" s="14"/>
      <c r="J8" s="14"/>
      <c r="K8" s="14">
        <f t="shared" si="0"/>
        <v>0.1951219512195122</v>
      </c>
      <c r="L8" s="14">
        <f t="shared" si="0"/>
        <v>0.36585365853658536</v>
      </c>
      <c r="M8" s="14">
        <f t="shared" si="0"/>
        <v>0.42682926829268292</v>
      </c>
      <c r="N8" s="14">
        <f t="shared" si="0"/>
        <v>0.48780487804878048</v>
      </c>
      <c r="O8" s="14">
        <f t="shared" si="0"/>
        <v>0.6097560975609756</v>
      </c>
      <c r="P8" s="14">
        <f t="shared" si="0"/>
        <v>0.71951219512195119</v>
      </c>
      <c r="Q8" s="14">
        <f t="shared" si="0"/>
        <v>0.96341463414634143</v>
      </c>
      <c r="R8" s="14"/>
    </row>
    <row r="9" spans="1:18" x14ac:dyDescent="0.4">
      <c r="A9" s="3">
        <v>90</v>
      </c>
      <c r="B9" s="14">
        <v>18</v>
      </c>
      <c r="C9" s="14">
        <v>31</v>
      </c>
      <c r="D9" s="14">
        <v>36</v>
      </c>
      <c r="E9" s="14">
        <v>42</v>
      </c>
      <c r="F9" s="14">
        <v>53</v>
      </c>
      <c r="G9" s="14">
        <v>62</v>
      </c>
      <c r="H9" s="14">
        <v>84</v>
      </c>
      <c r="I9" s="14"/>
      <c r="J9" s="14"/>
      <c r="K9" s="14">
        <f t="shared" si="0"/>
        <v>0.2</v>
      </c>
      <c r="L9" s="14">
        <f t="shared" si="0"/>
        <v>0.34444444444444444</v>
      </c>
      <c r="M9" s="14">
        <f t="shared" si="0"/>
        <v>0.4</v>
      </c>
      <c r="N9" s="14">
        <f t="shared" si="0"/>
        <v>0.46666666666666667</v>
      </c>
      <c r="O9" s="14">
        <f t="shared" si="0"/>
        <v>0.58888888888888891</v>
      </c>
      <c r="P9" s="14">
        <f t="shared" si="0"/>
        <v>0.68888888888888888</v>
      </c>
      <c r="Q9" s="14">
        <f t="shared" si="0"/>
        <v>0.93333333333333335</v>
      </c>
      <c r="R9" s="14"/>
    </row>
    <row r="10" spans="1:18" x14ac:dyDescent="0.4">
      <c r="A10" s="3">
        <v>100</v>
      </c>
      <c r="B10" s="14">
        <v>20</v>
      </c>
      <c r="C10" s="14">
        <v>32</v>
      </c>
      <c r="D10" s="14">
        <v>38</v>
      </c>
      <c r="E10" s="14">
        <v>44</v>
      </c>
      <c r="F10" s="14">
        <v>56</v>
      </c>
      <c r="G10" s="14">
        <v>66</v>
      </c>
      <c r="H10" s="14">
        <v>92</v>
      </c>
      <c r="I10" s="14"/>
      <c r="J10" s="14"/>
      <c r="K10" s="14">
        <f t="shared" si="0"/>
        <v>0.2</v>
      </c>
      <c r="L10" s="14">
        <f t="shared" si="0"/>
        <v>0.32</v>
      </c>
      <c r="M10" s="14">
        <f t="shared" si="0"/>
        <v>0.38</v>
      </c>
      <c r="N10" s="14">
        <f t="shared" si="0"/>
        <v>0.44</v>
      </c>
      <c r="O10" s="14">
        <f t="shared" si="0"/>
        <v>0.56000000000000005</v>
      </c>
      <c r="P10" s="14">
        <f t="shared" si="0"/>
        <v>0.66</v>
      </c>
      <c r="Q10" s="14">
        <f t="shared" si="0"/>
        <v>0.92</v>
      </c>
      <c r="R10" s="14"/>
    </row>
    <row r="11" spans="1:18" x14ac:dyDescent="0.4">
      <c r="A11" s="3">
        <v>110</v>
      </c>
      <c r="B11" s="14">
        <v>22</v>
      </c>
      <c r="C11" s="14">
        <v>33</v>
      </c>
      <c r="D11" s="14">
        <v>39</v>
      </c>
      <c r="E11" s="14">
        <v>46</v>
      </c>
      <c r="F11" s="14">
        <v>57</v>
      </c>
      <c r="G11" s="14">
        <v>69</v>
      </c>
      <c r="H11" s="14">
        <v>96</v>
      </c>
      <c r="I11" s="14"/>
      <c r="J11" s="14"/>
      <c r="K11" s="14">
        <f t="shared" si="0"/>
        <v>0.2</v>
      </c>
      <c r="L11" s="14">
        <f t="shared" si="0"/>
        <v>0.3</v>
      </c>
      <c r="M11" s="14">
        <f t="shared" si="0"/>
        <v>0.35454545454545455</v>
      </c>
      <c r="N11" s="14">
        <f t="shared" si="0"/>
        <v>0.41818181818181815</v>
      </c>
      <c r="O11" s="14">
        <f t="shared" si="0"/>
        <v>0.51818181818181819</v>
      </c>
      <c r="P11" s="14">
        <f t="shared" si="0"/>
        <v>0.62727272727272732</v>
      </c>
      <c r="Q11" s="14">
        <f t="shared" si="0"/>
        <v>0.87272727272727268</v>
      </c>
      <c r="R11" s="14"/>
    </row>
    <row r="12" spans="1:18" x14ac:dyDescent="0.4">
      <c r="A12" s="3">
        <v>120</v>
      </c>
      <c r="B12" s="14">
        <v>24</v>
      </c>
      <c r="C12" s="14">
        <v>35</v>
      </c>
      <c r="D12" s="14">
        <v>41</v>
      </c>
      <c r="E12" s="14">
        <v>47</v>
      </c>
      <c r="F12" s="14">
        <v>59</v>
      </c>
      <c r="G12" s="14">
        <v>70</v>
      </c>
      <c r="H12" s="14">
        <v>98</v>
      </c>
      <c r="I12" s="14"/>
      <c r="J12" s="14"/>
      <c r="K12" s="14">
        <f t="shared" si="0"/>
        <v>0.2</v>
      </c>
      <c r="L12" s="14">
        <f t="shared" si="0"/>
        <v>0.29166666666666669</v>
      </c>
      <c r="M12" s="14">
        <f t="shared" si="0"/>
        <v>0.34166666666666667</v>
      </c>
      <c r="N12" s="14">
        <f t="shared" si="0"/>
        <v>0.39166666666666666</v>
      </c>
      <c r="O12" s="14">
        <f t="shared" si="0"/>
        <v>0.49166666666666664</v>
      </c>
      <c r="P12" s="14">
        <f t="shared" si="0"/>
        <v>0.58333333333333337</v>
      </c>
      <c r="Q12" s="14">
        <f t="shared" si="0"/>
        <v>0.81666666666666665</v>
      </c>
      <c r="R12" s="14"/>
    </row>
    <row r="13" spans="1:18" x14ac:dyDescent="0.4">
      <c r="A13" s="3">
        <v>130</v>
      </c>
      <c r="B13" s="14">
        <v>25</v>
      </c>
      <c r="C13" s="14">
        <v>35</v>
      </c>
      <c r="D13" s="14">
        <v>42</v>
      </c>
      <c r="E13" s="14">
        <v>48</v>
      </c>
      <c r="F13" s="14">
        <v>61</v>
      </c>
      <c r="G13" s="14">
        <v>72</v>
      </c>
      <c r="H13" s="14">
        <v>101</v>
      </c>
      <c r="I13" s="14"/>
      <c r="J13" s="14"/>
      <c r="K13" s="14">
        <f t="shared" si="0"/>
        <v>0.19230769230769232</v>
      </c>
      <c r="L13" s="14">
        <f t="shared" si="0"/>
        <v>0.26923076923076922</v>
      </c>
      <c r="M13" s="14">
        <f t="shared" si="0"/>
        <v>0.32307692307692309</v>
      </c>
      <c r="N13" s="14">
        <f t="shared" si="0"/>
        <v>0.36923076923076925</v>
      </c>
      <c r="O13" s="14">
        <f t="shared" si="0"/>
        <v>0.46923076923076923</v>
      </c>
      <c r="P13" s="14">
        <f t="shared" si="0"/>
        <v>0.55384615384615388</v>
      </c>
      <c r="Q13" s="14">
        <f t="shared" si="0"/>
        <v>0.77692307692307694</v>
      </c>
      <c r="R13" s="14"/>
    </row>
    <row r="14" spans="1:18" x14ac:dyDescent="0.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27.6" x14ac:dyDescent="0.4">
      <c r="A15" s="25" t="s">
        <v>55</v>
      </c>
      <c r="B15" s="26"/>
      <c r="C15" s="26"/>
      <c r="D15" s="26"/>
      <c r="E15" s="26"/>
      <c r="F15" s="26"/>
      <c r="G15" s="26"/>
      <c r="H15" s="26"/>
      <c r="I15" s="14"/>
      <c r="J15" s="14"/>
      <c r="K15" s="27" t="s">
        <v>56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I16" s="14"/>
      <c r="J16" s="14"/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  <c r="R16" s="14"/>
    </row>
    <row r="17" spans="1:18" x14ac:dyDescent="0.4">
      <c r="A17" s="2">
        <v>44</v>
      </c>
      <c r="B17" s="14">
        <f>표2_7155[[#This Row],[실버]]-2</f>
        <v>9</v>
      </c>
      <c r="C17" s="14">
        <v>11</v>
      </c>
      <c r="D17" s="16">
        <f>(표2_7155[[#This Row],[실버]]+표2_7155[[#This Row],[플래티넘]])/2</f>
        <v>13</v>
      </c>
      <c r="E17" s="14">
        <v>15</v>
      </c>
      <c r="F17" s="14">
        <v>18</v>
      </c>
      <c r="G17" s="14">
        <v>24</v>
      </c>
      <c r="H17" s="14">
        <v>31</v>
      </c>
      <c r="I17" s="14"/>
      <c r="J17" s="14"/>
      <c r="K17" s="14">
        <f>B17/$A17</f>
        <v>0.20454545454545456</v>
      </c>
      <c r="L17" s="14">
        <f>D17/$A17</f>
        <v>0.29545454545454547</v>
      </c>
      <c r="M17" s="14">
        <f>F17/$A17</f>
        <v>0.40909090909090912</v>
      </c>
      <c r="N17" s="14">
        <f>E17/$A17</f>
        <v>0.34090909090909088</v>
      </c>
      <c r="O17" s="14">
        <f>G17/$A17</f>
        <v>0.54545454545454541</v>
      </c>
      <c r="P17" s="14">
        <f>G17/$A17</f>
        <v>0.54545454545454541</v>
      </c>
      <c r="Q17" s="14">
        <f>H17/$A17</f>
        <v>0.70454545454545459</v>
      </c>
      <c r="R17" s="14"/>
    </row>
    <row r="18" spans="1:18" x14ac:dyDescent="0.4">
      <c r="A18" s="2">
        <v>48</v>
      </c>
      <c r="B18" s="14">
        <f>표2_7155[[#This Row],[실버]]-2</f>
        <v>10</v>
      </c>
      <c r="C18" s="14">
        <v>12</v>
      </c>
      <c r="D18" s="16">
        <f>(표2_7155[[#This Row],[실버]]+표2_7155[[#This Row],[플래티넘]])/2</f>
        <v>14</v>
      </c>
      <c r="E18" s="14">
        <v>16</v>
      </c>
      <c r="F18" s="14">
        <v>19</v>
      </c>
      <c r="G18" s="14">
        <v>25</v>
      </c>
      <c r="H18" s="14">
        <v>33</v>
      </c>
      <c r="I18" s="14"/>
      <c r="J18" s="14"/>
      <c r="K18" s="14">
        <f t="shared" ref="K18:K25" si="1">B18/$A18</f>
        <v>0.20833333333333334</v>
      </c>
      <c r="L18" s="14">
        <f t="shared" ref="L18:L25" si="2">D18/$A18</f>
        <v>0.29166666666666669</v>
      </c>
      <c r="M18" s="14">
        <f t="shared" ref="M18:M25" si="3">F18/$A18</f>
        <v>0.39583333333333331</v>
      </c>
      <c r="N18" s="14">
        <f t="shared" ref="N18:N25" si="4">E18/$A18</f>
        <v>0.33333333333333331</v>
      </c>
      <c r="O18" s="14">
        <f t="shared" ref="O18:O25" si="5">G18/$A18</f>
        <v>0.52083333333333337</v>
      </c>
      <c r="P18" s="14">
        <f t="shared" ref="P18:Q25" si="6">G18/$A18</f>
        <v>0.52083333333333337</v>
      </c>
      <c r="Q18" s="14">
        <f t="shared" si="6"/>
        <v>0.6875</v>
      </c>
      <c r="R18" s="14"/>
    </row>
    <row r="19" spans="1:18" x14ac:dyDescent="0.4">
      <c r="A19" s="2">
        <v>52</v>
      </c>
      <c r="B19" s="14">
        <f>표2_7155[[#This Row],[실버]]-2</f>
        <v>11</v>
      </c>
      <c r="C19" s="14">
        <v>13</v>
      </c>
      <c r="D19" s="16">
        <f>(표2_7155[[#This Row],[실버]]+표2_7155[[#This Row],[플래티넘]])/2</f>
        <v>15</v>
      </c>
      <c r="E19" s="14">
        <v>17</v>
      </c>
      <c r="F19" s="14">
        <v>21</v>
      </c>
      <c r="G19" s="14">
        <v>27</v>
      </c>
      <c r="H19" s="14">
        <v>35</v>
      </c>
      <c r="I19" s="14"/>
      <c r="J19" s="14"/>
      <c r="K19" s="14">
        <f t="shared" si="1"/>
        <v>0.21153846153846154</v>
      </c>
      <c r="L19" s="14">
        <f t="shared" si="2"/>
        <v>0.28846153846153844</v>
      </c>
      <c r="M19" s="14">
        <f t="shared" si="3"/>
        <v>0.40384615384615385</v>
      </c>
      <c r="N19" s="14">
        <f t="shared" si="4"/>
        <v>0.32692307692307693</v>
      </c>
      <c r="O19" s="14">
        <f t="shared" si="5"/>
        <v>0.51923076923076927</v>
      </c>
      <c r="P19" s="14">
        <f t="shared" si="6"/>
        <v>0.51923076923076927</v>
      </c>
      <c r="Q19" s="14">
        <f t="shared" si="6"/>
        <v>0.67307692307692313</v>
      </c>
      <c r="R19" s="14"/>
    </row>
    <row r="20" spans="1:18" x14ac:dyDescent="0.4">
      <c r="A20" s="2">
        <v>56</v>
      </c>
      <c r="B20" s="14">
        <f>표2_7155[[#This Row],[실버]]-2</f>
        <v>12</v>
      </c>
      <c r="C20" s="14">
        <v>14</v>
      </c>
      <c r="D20" s="16">
        <f>(표2_7155[[#This Row],[실버]]+표2_7155[[#This Row],[플래티넘]])/2</f>
        <v>16.5</v>
      </c>
      <c r="E20" s="14">
        <v>19</v>
      </c>
      <c r="F20" s="14">
        <v>22</v>
      </c>
      <c r="G20" s="14">
        <v>29</v>
      </c>
      <c r="H20" s="14">
        <v>37</v>
      </c>
      <c r="I20" s="14"/>
      <c r="J20" s="14"/>
      <c r="K20" s="14">
        <f t="shared" si="1"/>
        <v>0.21428571428571427</v>
      </c>
      <c r="L20" s="14">
        <f t="shared" si="2"/>
        <v>0.29464285714285715</v>
      </c>
      <c r="M20" s="14">
        <f t="shared" si="3"/>
        <v>0.39285714285714285</v>
      </c>
      <c r="N20" s="14">
        <f t="shared" si="4"/>
        <v>0.3392857142857143</v>
      </c>
      <c r="O20" s="14">
        <f t="shared" si="5"/>
        <v>0.5178571428571429</v>
      </c>
      <c r="P20" s="14">
        <f t="shared" si="6"/>
        <v>0.5178571428571429</v>
      </c>
      <c r="Q20" s="14">
        <f t="shared" si="6"/>
        <v>0.6607142857142857</v>
      </c>
      <c r="R20" s="14"/>
    </row>
    <row r="21" spans="1:18" x14ac:dyDescent="0.4">
      <c r="A21" s="2">
        <v>60</v>
      </c>
      <c r="B21" s="14">
        <f>표2_7155[[#This Row],[실버]]-2</f>
        <v>13</v>
      </c>
      <c r="C21" s="14">
        <v>15</v>
      </c>
      <c r="D21" s="16">
        <f>(표2_7155[[#This Row],[실버]]+표2_7155[[#This Row],[플래티넘]])/2</f>
        <v>17.5</v>
      </c>
      <c r="E21" s="14">
        <v>20</v>
      </c>
      <c r="F21" s="14">
        <v>23</v>
      </c>
      <c r="G21" s="14">
        <v>31</v>
      </c>
      <c r="H21" s="14">
        <v>40</v>
      </c>
      <c r="I21" s="14"/>
      <c r="J21" s="14"/>
      <c r="K21" s="14">
        <f t="shared" si="1"/>
        <v>0.21666666666666667</v>
      </c>
      <c r="L21" s="14">
        <f t="shared" si="2"/>
        <v>0.29166666666666669</v>
      </c>
      <c r="M21" s="14">
        <f t="shared" si="3"/>
        <v>0.38333333333333336</v>
      </c>
      <c r="N21" s="14">
        <f t="shared" si="4"/>
        <v>0.33333333333333331</v>
      </c>
      <c r="O21" s="14">
        <f t="shared" si="5"/>
        <v>0.51666666666666672</v>
      </c>
      <c r="P21" s="14">
        <f t="shared" si="6"/>
        <v>0.51666666666666672</v>
      </c>
      <c r="Q21" s="14">
        <f t="shared" si="6"/>
        <v>0.66666666666666663</v>
      </c>
      <c r="R21" s="14"/>
    </row>
    <row r="22" spans="1:18" x14ac:dyDescent="0.4">
      <c r="A22" s="2">
        <v>67</v>
      </c>
      <c r="B22" s="14">
        <f>표2_7155[[#This Row],[실버]]-2</f>
        <v>14</v>
      </c>
      <c r="C22" s="14">
        <v>16</v>
      </c>
      <c r="D22" s="16">
        <f>(표2_7155[[#This Row],[실버]]+표2_7155[[#This Row],[플래티넘]])/2</f>
        <v>19</v>
      </c>
      <c r="E22" s="14">
        <v>22</v>
      </c>
      <c r="F22" s="14">
        <v>26</v>
      </c>
      <c r="G22" s="14">
        <v>34</v>
      </c>
      <c r="H22" s="14">
        <v>44</v>
      </c>
      <c r="I22" s="14"/>
      <c r="J22" s="14"/>
      <c r="K22" s="14">
        <f t="shared" si="1"/>
        <v>0.20895522388059701</v>
      </c>
      <c r="L22" s="14">
        <f t="shared" si="2"/>
        <v>0.28358208955223879</v>
      </c>
      <c r="M22" s="14">
        <f t="shared" si="3"/>
        <v>0.38805970149253732</v>
      </c>
      <c r="N22" s="14">
        <f t="shared" si="4"/>
        <v>0.32835820895522388</v>
      </c>
      <c r="O22" s="14">
        <f t="shared" si="5"/>
        <v>0.5074626865671642</v>
      </c>
      <c r="P22" s="14">
        <f t="shared" si="6"/>
        <v>0.5074626865671642</v>
      </c>
      <c r="Q22" s="14">
        <f t="shared" si="6"/>
        <v>0.65671641791044777</v>
      </c>
      <c r="R22" s="14"/>
    </row>
    <row r="23" spans="1:18" x14ac:dyDescent="0.4">
      <c r="A23" s="2">
        <v>75</v>
      </c>
      <c r="B23" s="14">
        <f>표2_7155[[#This Row],[실버]]-2</f>
        <v>15</v>
      </c>
      <c r="C23" s="14">
        <v>17</v>
      </c>
      <c r="D23" s="16">
        <f>(표2_7155[[#This Row],[실버]]+표2_7155[[#This Row],[플래티넘]])/2</f>
        <v>20</v>
      </c>
      <c r="E23" s="14">
        <v>23</v>
      </c>
      <c r="F23" s="14">
        <v>28</v>
      </c>
      <c r="G23" s="14">
        <v>37</v>
      </c>
      <c r="H23" s="14">
        <v>49</v>
      </c>
      <c r="I23" s="14"/>
      <c r="J23" s="14"/>
      <c r="K23" s="14">
        <f t="shared" si="1"/>
        <v>0.2</v>
      </c>
      <c r="L23" s="14">
        <f t="shared" si="2"/>
        <v>0.26666666666666666</v>
      </c>
      <c r="M23" s="14">
        <f t="shared" si="3"/>
        <v>0.37333333333333335</v>
      </c>
      <c r="N23" s="14">
        <f t="shared" si="4"/>
        <v>0.30666666666666664</v>
      </c>
      <c r="O23" s="14">
        <f t="shared" si="5"/>
        <v>0.49333333333333335</v>
      </c>
      <c r="P23" s="14">
        <f t="shared" si="6"/>
        <v>0.49333333333333335</v>
      </c>
      <c r="Q23" s="14">
        <f t="shared" si="6"/>
        <v>0.65333333333333332</v>
      </c>
      <c r="R23" s="14"/>
    </row>
    <row r="24" spans="1:18" x14ac:dyDescent="0.4">
      <c r="A24" s="2">
        <v>82</v>
      </c>
      <c r="B24" s="14">
        <f>표2_7155[[#This Row],[실버]]-2</f>
        <v>16</v>
      </c>
      <c r="C24" s="14">
        <v>18</v>
      </c>
      <c r="D24" s="16">
        <f>(표2_7155[[#This Row],[실버]]+표2_7155[[#This Row],[플래티넘]])/2</f>
        <v>22</v>
      </c>
      <c r="E24" s="14">
        <v>26</v>
      </c>
      <c r="F24" s="14">
        <v>30</v>
      </c>
      <c r="G24" s="14">
        <v>40</v>
      </c>
      <c r="H24" s="14">
        <v>51</v>
      </c>
      <c r="I24" s="14"/>
      <c r="J24" s="14"/>
      <c r="K24" s="14">
        <f t="shared" si="1"/>
        <v>0.1951219512195122</v>
      </c>
      <c r="L24" s="14">
        <f t="shared" si="2"/>
        <v>0.26829268292682928</v>
      </c>
      <c r="M24" s="14">
        <f t="shared" si="3"/>
        <v>0.36585365853658536</v>
      </c>
      <c r="N24" s="14">
        <f t="shared" si="4"/>
        <v>0.31707317073170732</v>
      </c>
      <c r="O24" s="14">
        <f t="shared" si="5"/>
        <v>0.48780487804878048</v>
      </c>
      <c r="P24" s="14">
        <f t="shared" si="6"/>
        <v>0.48780487804878048</v>
      </c>
      <c r="Q24" s="14">
        <f t="shared" si="6"/>
        <v>0.62195121951219512</v>
      </c>
      <c r="R24" s="14"/>
    </row>
    <row r="25" spans="1:18" x14ac:dyDescent="0.4">
      <c r="A25" s="2">
        <v>90</v>
      </c>
      <c r="B25" s="14">
        <f>표2_7155[[#This Row],[실버]]-2</f>
        <v>18</v>
      </c>
      <c r="C25" s="14">
        <v>20</v>
      </c>
      <c r="D25" s="16">
        <f>(표2_7155[[#This Row],[실버]]+표2_7155[[#This Row],[플래티넘]])/2</f>
        <v>23.5</v>
      </c>
      <c r="E25" s="14">
        <v>27</v>
      </c>
      <c r="F25" s="14">
        <v>31</v>
      </c>
      <c r="G25" s="14">
        <v>43</v>
      </c>
      <c r="H25" s="14">
        <v>54</v>
      </c>
      <c r="I25" s="14"/>
      <c r="J25" s="14"/>
      <c r="K25" s="14">
        <f t="shared" si="1"/>
        <v>0.2</v>
      </c>
      <c r="L25" s="14">
        <f t="shared" si="2"/>
        <v>0.26111111111111113</v>
      </c>
      <c r="M25" s="14">
        <f t="shared" si="3"/>
        <v>0.34444444444444444</v>
      </c>
      <c r="N25" s="14">
        <f t="shared" si="4"/>
        <v>0.3</v>
      </c>
      <c r="O25" s="14">
        <f t="shared" si="5"/>
        <v>0.4777777777777778</v>
      </c>
      <c r="P25" s="14">
        <f t="shared" si="6"/>
        <v>0.4777777777777778</v>
      </c>
      <c r="Q25" s="14">
        <f t="shared" si="6"/>
        <v>0.6</v>
      </c>
      <c r="R25" s="14"/>
    </row>
    <row r="26" spans="1:18" x14ac:dyDescent="0.4">
      <c r="A26" s="4"/>
      <c r="B26" s="5"/>
      <c r="C26" s="5"/>
      <c r="D26" s="5"/>
      <c r="E26" s="5"/>
      <c r="F26" s="5"/>
      <c r="G26" s="5"/>
      <c r="H26" s="5"/>
      <c r="I26" s="5"/>
      <c r="J26" s="14"/>
      <c r="K26" s="14"/>
      <c r="L26" s="14"/>
      <c r="M26" s="14"/>
      <c r="N26" s="14"/>
      <c r="O26" s="14"/>
      <c r="P26" s="14"/>
      <c r="Q26" s="14"/>
      <c r="R26" s="14"/>
    </row>
    <row r="27" spans="1:18" x14ac:dyDescent="0.4">
      <c r="A27" s="4"/>
      <c r="B27" s="5"/>
      <c r="C27" s="5"/>
      <c r="D27" s="5"/>
      <c r="E27" s="5"/>
      <c r="F27" s="5"/>
      <c r="G27" s="5"/>
      <c r="H27" s="5"/>
      <c r="I27" s="5"/>
      <c r="J27" s="14"/>
      <c r="K27" s="14"/>
      <c r="L27" s="14"/>
      <c r="M27" s="14"/>
      <c r="N27" s="14"/>
      <c r="O27" s="14"/>
      <c r="P27" s="14"/>
      <c r="Q27" s="14"/>
      <c r="R27" s="14"/>
    </row>
    <row r="28" spans="1:18" x14ac:dyDescent="0.4">
      <c r="A28" s="5"/>
      <c r="B28" s="5"/>
      <c r="C28" s="5"/>
      <c r="D28" s="5"/>
      <c r="E28" s="5"/>
      <c r="F28" s="5"/>
      <c r="G28" s="5"/>
      <c r="H28" s="5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1:18" x14ac:dyDescent="0.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zoomScale="94" zoomScaleNormal="94" workbookViewId="0">
      <selection activeCell="J12" sqref="J12"/>
    </sheetView>
  </sheetViews>
  <sheetFormatPr defaultRowHeight="17.399999999999999" x14ac:dyDescent="0.4"/>
  <sheetData>
    <row r="1" spans="1:18" ht="25.2" x14ac:dyDescent="0.4">
      <c r="A1" s="25" t="s">
        <v>69</v>
      </c>
      <c r="B1" s="26"/>
      <c r="C1" s="26"/>
      <c r="D1" s="26"/>
      <c r="E1" s="26"/>
      <c r="F1" s="26"/>
      <c r="G1" s="26"/>
      <c r="H1" s="26"/>
      <c r="I1" s="14"/>
      <c r="J1" s="14"/>
      <c r="K1" s="25" t="s">
        <v>70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I2" s="14"/>
      <c r="J2" s="14"/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  <c r="R2" s="14"/>
    </row>
    <row r="3" spans="1:18" x14ac:dyDescent="0.4">
      <c r="A3" s="3">
        <v>55</v>
      </c>
      <c r="B3" s="16">
        <f t="shared" ref="B3:B4" si="0">B4*0.95</f>
        <v>25.721249999999998</v>
      </c>
      <c r="C3" s="16">
        <f t="shared" ref="C3:C4" si="1">C4*0.95</f>
        <v>33.437624999999997</v>
      </c>
      <c r="D3" s="16">
        <f t="shared" ref="D3:D4" si="2">D4*0.95</f>
        <v>38.581874999999997</v>
      </c>
      <c r="E3" s="16">
        <f t="shared" ref="E3:E4" si="3">E4*0.95</f>
        <v>45.440874999999984</v>
      </c>
      <c r="F3" s="16">
        <f t="shared" ref="F3:F4" si="4">F4*0.95</f>
        <v>51.442499999999995</v>
      </c>
      <c r="G3" s="16">
        <f t="shared" ref="G3:G4" si="5">G4*0.95</f>
        <v>58.30149999999999</v>
      </c>
      <c r="H3" s="16">
        <f t="shared" ref="H3:H4" si="6">H4*0.95</f>
        <v>64.303124999999994</v>
      </c>
      <c r="I3" s="14"/>
      <c r="J3" s="14"/>
      <c r="K3" s="14">
        <f t="shared" ref="K3:Q13" si="7">B3/$A3</f>
        <v>0.46765909090909086</v>
      </c>
      <c r="L3" s="14">
        <f t="shared" si="7"/>
        <v>0.60795681818181813</v>
      </c>
      <c r="M3" s="14">
        <f t="shared" si="7"/>
        <v>0.70148863636363634</v>
      </c>
      <c r="N3" s="14">
        <f t="shared" si="7"/>
        <v>0.826197727272727</v>
      </c>
      <c r="O3" s="14">
        <f t="shared" si="7"/>
        <v>0.93531818181818172</v>
      </c>
      <c r="P3" s="14">
        <f t="shared" si="7"/>
        <v>1.0600272727272726</v>
      </c>
      <c r="Q3" s="14">
        <f t="shared" si="7"/>
        <v>1.1691477272727271</v>
      </c>
      <c r="R3" s="14"/>
    </row>
    <row r="4" spans="1:18" x14ac:dyDescent="0.4">
      <c r="A4" s="3">
        <v>60</v>
      </c>
      <c r="B4" s="16">
        <f t="shared" si="0"/>
        <v>27.074999999999999</v>
      </c>
      <c r="C4" s="16">
        <f t="shared" si="1"/>
        <v>35.197499999999998</v>
      </c>
      <c r="D4" s="16">
        <f t="shared" si="2"/>
        <v>40.612499999999997</v>
      </c>
      <c r="E4" s="16">
        <f t="shared" si="3"/>
        <v>47.832499999999989</v>
      </c>
      <c r="F4" s="16">
        <f t="shared" si="4"/>
        <v>54.15</v>
      </c>
      <c r="G4" s="16">
        <f t="shared" si="5"/>
        <v>61.36999999999999</v>
      </c>
      <c r="H4" s="16">
        <f t="shared" si="6"/>
        <v>67.6875</v>
      </c>
      <c r="I4" s="14"/>
      <c r="J4" s="14"/>
      <c r="K4" s="14">
        <f t="shared" si="7"/>
        <v>0.45124999999999998</v>
      </c>
      <c r="L4" s="14">
        <f t="shared" si="7"/>
        <v>0.58662499999999995</v>
      </c>
      <c r="M4" s="14">
        <f t="shared" si="7"/>
        <v>0.676875</v>
      </c>
      <c r="N4" s="14">
        <f t="shared" si="7"/>
        <v>0.79720833333333319</v>
      </c>
      <c r="O4" s="14">
        <f t="shared" si="7"/>
        <v>0.90249999999999997</v>
      </c>
      <c r="P4" s="14">
        <f t="shared" si="7"/>
        <v>1.0228333333333333</v>
      </c>
      <c r="Q4" s="14">
        <f t="shared" si="7"/>
        <v>1.128125</v>
      </c>
      <c r="R4" s="14"/>
    </row>
    <row r="5" spans="1:18" x14ac:dyDescent="0.4">
      <c r="A5" s="3">
        <v>65</v>
      </c>
      <c r="B5" s="16">
        <f>B6*0.95</f>
        <v>28.5</v>
      </c>
      <c r="C5" s="16">
        <f t="shared" ref="C5:H5" si="8">C6*0.95</f>
        <v>37.049999999999997</v>
      </c>
      <c r="D5" s="16">
        <f t="shared" si="8"/>
        <v>42.75</v>
      </c>
      <c r="E5" s="16">
        <f t="shared" si="8"/>
        <v>50.349999999999994</v>
      </c>
      <c r="F5" s="16">
        <f t="shared" si="8"/>
        <v>57</v>
      </c>
      <c r="G5" s="16">
        <f t="shared" si="8"/>
        <v>64.599999999999994</v>
      </c>
      <c r="H5" s="16">
        <f t="shared" si="8"/>
        <v>71.25</v>
      </c>
      <c r="I5" s="14"/>
      <c r="J5" s="14"/>
      <c r="K5" s="14">
        <f t="shared" si="7"/>
        <v>0.43846153846153846</v>
      </c>
      <c r="L5" s="14">
        <f t="shared" si="7"/>
        <v>0.56999999999999995</v>
      </c>
      <c r="M5" s="14">
        <f t="shared" si="7"/>
        <v>0.65769230769230769</v>
      </c>
      <c r="N5" s="14">
        <f t="shared" si="7"/>
        <v>0.77461538461538448</v>
      </c>
      <c r="O5" s="14">
        <f t="shared" si="7"/>
        <v>0.87692307692307692</v>
      </c>
      <c r="P5" s="14">
        <f t="shared" si="7"/>
        <v>0.99384615384615371</v>
      </c>
      <c r="Q5" s="14">
        <f t="shared" si="7"/>
        <v>1.0961538461538463</v>
      </c>
      <c r="R5" s="14"/>
    </row>
    <row r="6" spans="1:18" x14ac:dyDescent="0.4">
      <c r="A6" s="3">
        <v>70</v>
      </c>
      <c r="B6" s="19">
        <v>30</v>
      </c>
      <c r="C6" s="19">
        <v>39</v>
      </c>
      <c r="D6" s="19">
        <v>45</v>
      </c>
      <c r="E6" s="21">
        <v>53</v>
      </c>
      <c r="F6" s="19">
        <v>60</v>
      </c>
      <c r="G6" s="19">
        <v>68</v>
      </c>
      <c r="H6" s="19">
        <v>75</v>
      </c>
      <c r="I6" s="14"/>
      <c r="J6" s="14"/>
      <c r="K6" s="14">
        <f t="shared" ref="K6:Q7" si="9">B6/$A6</f>
        <v>0.42857142857142855</v>
      </c>
      <c r="L6" s="14">
        <f t="shared" si="9"/>
        <v>0.55714285714285716</v>
      </c>
      <c r="M6" s="14">
        <f t="shared" si="9"/>
        <v>0.6428571428571429</v>
      </c>
      <c r="N6" s="14">
        <f t="shared" si="9"/>
        <v>0.75714285714285712</v>
      </c>
      <c r="O6" s="14">
        <f t="shared" si="9"/>
        <v>0.8571428571428571</v>
      </c>
      <c r="P6" s="14">
        <f t="shared" si="9"/>
        <v>0.97142857142857142</v>
      </c>
      <c r="Q6" s="14">
        <f t="shared" si="9"/>
        <v>1.0714285714285714</v>
      </c>
      <c r="R6" s="14"/>
    </row>
    <row r="7" spans="1:18" x14ac:dyDescent="0.4">
      <c r="A7" s="3">
        <v>75</v>
      </c>
      <c r="B7" s="18">
        <f>B6*1.05</f>
        <v>31.5</v>
      </c>
      <c r="C7" s="18">
        <f t="shared" ref="C7:H7" si="10">C6*1.05</f>
        <v>40.950000000000003</v>
      </c>
      <c r="D7" s="18">
        <f t="shared" si="10"/>
        <v>47.25</v>
      </c>
      <c r="E7" s="18">
        <f t="shared" si="10"/>
        <v>55.650000000000006</v>
      </c>
      <c r="F7" s="18">
        <f t="shared" si="10"/>
        <v>63</v>
      </c>
      <c r="G7" s="18">
        <f t="shared" si="10"/>
        <v>71.400000000000006</v>
      </c>
      <c r="H7" s="18">
        <f t="shared" si="10"/>
        <v>78.75</v>
      </c>
      <c r="I7" s="14"/>
      <c r="J7" s="14"/>
      <c r="K7" s="14">
        <f t="shared" si="9"/>
        <v>0.42</v>
      </c>
      <c r="L7" s="14">
        <f t="shared" si="9"/>
        <v>0.54600000000000004</v>
      </c>
      <c r="M7" s="14">
        <f t="shared" si="9"/>
        <v>0.63</v>
      </c>
      <c r="N7" s="14">
        <f t="shared" si="9"/>
        <v>0.7420000000000001</v>
      </c>
      <c r="O7" s="14">
        <f t="shared" si="9"/>
        <v>0.84</v>
      </c>
      <c r="P7" s="14">
        <f t="shared" si="9"/>
        <v>0.95200000000000007</v>
      </c>
      <c r="Q7" s="14">
        <f t="shared" si="9"/>
        <v>1.05</v>
      </c>
      <c r="R7" s="14"/>
    </row>
    <row r="8" spans="1:18" x14ac:dyDescent="0.4">
      <c r="A8" s="3">
        <v>82</v>
      </c>
      <c r="B8" s="18">
        <f t="shared" ref="B8:B13" si="11">B7*1.05</f>
        <v>33.075000000000003</v>
      </c>
      <c r="C8" s="18">
        <f t="shared" ref="C8:C13" si="12">C7*1.05</f>
        <v>42.997500000000002</v>
      </c>
      <c r="D8" s="18">
        <f t="shared" ref="D8:D13" si="13">D7*1.05</f>
        <v>49.612500000000004</v>
      </c>
      <c r="E8" s="18">
        <f t="shared" ref="E8:E13" si="14">E7*1.05</f>
        <v>58.432500000000012</v>
      </c>
      <c r="F8" s="18">
        <f t="shared" ref="F8:F13" si="15">F7*1.05</f>
        <v>66.150000000000006</v>
      </c>
      <c r="G8" s="18">
        <f t="shared" ref="G8:G13" si="16">G7*1.05</f>
        <v>74.970000000000013</v>
      </c>
      <c r="H8" s="18">
        <f t="shared" ref="H8:H13" si="17">H7*1.05</f>
        <v>82.6875</v>
      </c>
      <c r="I8" s="14"/>
      <c r="J8" s="14"/>
      <c r="K8" s="14">
        <f t="shared" si="7"/>
        <v>0.40335365853658539</v>
      </c>
      <c r="L8" s="14">
        <f t="shared" si="7"/>
        <v>0.52435975609756103</v>
      </c>
      <c r="M8" s="14">
        <f t="shared" si="7"/>
        <v>0.60503048780487811</v>
      </c>
      <c r="N8" s="14">
        <f t="shared" si="7"/>
        <v>0.71259146341463431</v>
      </c>
      <c r="O8" s="14">
        <f t="shared" si="7"/>
        <v>0.80670731707317078</v>
      </c>
      <c r="P8" s="14">
        <f t="shared" si="7"/>
        <v>0.91426829268292698</v>
      </c>
      <c r="Q8" s="14">
        <f t="shared" si="7"/>
        <v>1.0083841463414633</v>
      </c>
      <c r="R8" s="14"/>
    </row>
    <row r="9" spans="1:18" x14ac:dyDescent="0.4">
      <c r="A9" s="3">
        <v>90</v>
      </c>
      <c r="B9" s="18">
        <f t="shared" si="11"/>
        <v>34.728750000000005</v>
      </c>
      <c r="C9" s="18">
        <f t="shared" si="12"/>
        <v>45.147375000000004</v>
      </c>
      <c r="D9" s="18">
        <f t="shared" si="13"/>
        <v>52.093125000000008</v>
      </c>
      <c r="E9" s="18">
        <f t="shared" si="14"/>
        <v>61.354125000000018</v>
      </c>
      <c r="F9" s="18">
        <f t="shared" si="15"/>
        <v>69.45750000000001</v>
      </c>
      <c r="G9" s="18">
        <f t="shared" si="16"/>
        <v>78.71850000000002</v>
      </c>
      <c r="H9" s="18">
        <f t="shared" si="17"/>
        <v>86.821875000000006</v>
      </c>
      <c r="I9" s="14"/>
      <c r="J9" s="14"/>
      <c r="K9" s="14">
        <f t="shared" si="7"/>
        <v>0.38587500000000008</v>
      </c>
      <c r="L9" s="14">
        <f t="shared" si="7"/>
        <v>0.50163750000000007</v>
      </c>
      <c r="M9" s="14">
        <f t="shared" si="7"/>
        <v>0.57881250000000006</v>
      </c>
      <c r="N9" s="14">
        <f t="shared" si="7"/>
        <v>0.68171250000000017</v>
      </c>
      <c r="O9" s="14">
        <f t="shared" si="7"/>
        <v>0.77175000000000016</v>
      </c>
      <c r="P9" s="14">
        <f t="shared" si="7"/>
        <v>0.87465000000000026</v>
      </c>
      <c r="Q9" s="14">
        <f t="shared" si="7"/>
        <v>0.96468750000000003</v>
      </c>
      <c r="R9" s="14"/>
    </row>
    <row r="10" spans="1:18" x14ac:dyDescent="0.4">
      <c r="A10" s="3">
        <v>100</v>
      </c>
      <c r="B10" s="18">
        <f t="shared" si="11"/>
        <v>36.465187500000006</v>
      </c>
      <c r="C10" s="18">
        <f t="shared" si="12"/>
        <v>47.404743750000009</v>
      </c>
      <c r="D10" s="18">
        <f t="shared" si="13"/>
        <v>54.697781250000013</v>
      </c>
      <c r="E10" s="18">
        <f t="shared" si="14"/>
        <v>64.421831250000025</v>
      </c>
      <c r="F10" s="18">
        <f t="shared" si="15"/>
        <v>72.930375000000012</v>
      </c>
      <c r="G10" s="18">
        <f t="shared" si="16"/>
        <v>82.654425000000018</v>
      </c>
      <c r="H10" s="18">
        <f t="shared" si="17"/>
        <v>91.162968750000005</v>
      </c>
      <c r="I10" s="14"/>
      <c r="J10" s="14"/>
      <c r="K10" s="14">
        <f t="shared" si="7"/>
        <v>0.36465187500000007</v>
      </c>
      <c r="L10" s="14">
        <f t="shared" si="7"/>
        <v>0.47404743750000011</v>
      </c>
      <c r="M10" s="14">
        <f t="shared" si="7"/>
        <v>0.5469778125000001</v>
      </c>
      <c r="N10" s="14">
        <f t="shared" si="7"/>
        <v>0.64421831250000028</v>
      </c>
      <c r="O10" s="14">
        <f t="shared" si="7"/>
        <v>0.72930375000000014</v>
      </c>
      <c r="P10" s="14">
        <f t="shared" si="7"/>
        <v>0.8265442500000002</v>
      </c>
      <c r="Q10" s="14">
        <f t="shared" si="7"/>
        <v>0.91162968750000006</v>
      </c>
      <c r="R10" s="14"/>
    </row>
    <row r="11" spans="1:18" x14ac:dyDescent="0.4">
      <c r="A11" s="3">
        <v>110</v>
      </c>
      <c r="B11" s="18">
        <f t="shared" si="11"/>
        <v>38.288446875000005</v>
      </c>
      <c r="C11" s="18">
        <f t="shared" si="12"/>
        <v>49.774980937500011</v>
      </c>
      <c r="D11" s="18">
        <f t="shared" si="13"/>
        <v>57.432670312500015</v>
      </c>
      <c r="E11" s="18">
        <f t="shared" si="14"/>
        <v>67.642922812500032</v>
      </c>
      <c r="F11" s="18">
        <f t="shared" si="15"/>
        <v>76.576893750000011</v>
      </c>
      <c r="G11" s="18">
        <f t="shared" si="16"/>
        <v>86.787146250000021</v>
      </c>
      <c r="H11" s="18">
        <f t="shared" si="17"/>
        <v>95.721117187500013</v>
      </c>
      <c r="I11" s="14"/>
      <c r="J11" s="14"/>
      <c r="K11" s="14">
        <f t="shared" si="7"/>
        <v>0.34807678977272732</v>
      </c>
      <c r="L11" s="14">
        <f t="shared" si="7"/>
        <v>0.45249982670454558</v>
      </c>
      <c r="M11" s="14">
        <f t="shared" si="7"/>
        <v>0.52211518465909101</v>
      </c>
      <c r="N11" s="14">
        <f t="shared" si="7"/>
        <v>0.61493566193181848</v>
      </c>
      <c r="O11" s="14">
        <f t="shared" si="7"/>
        <v>0.69615357954545465</v>
      </c>
      <c r="P11" s="14">
        <f t="shared" si="7"/>
        <v>0.788974056818182</v>
      </c>
      <c r="Q11" s="14">
        <f t="shared" si="7"/>
        <v>0.87019197443181828</v>
      </c>
      <c r="R11" s="14"/>
    </row>
    <row r="12" spans="1:18" x14ac:dyDescent="0.4">
      <c r="A12" s="3">
        <v>120</v>
      </c>
      <c r="B12" s="18">
        <f t="shared" si="11"/>
        <v>40.20286921875001</v>
      </c>
      <c r="C12" s="18">
        <f t="shared" si="12"/>
        <v>52.263729984375011</v>
      </c>
      <c r="D12" s="18">
        <f t="shared" si="13"/>
        <v>60.304303828125022</v>
      </c>
      <c r="E12" s="18">
        <f t="shared" si="14"/>
        <v>71.025068953125043</v>
      </c>
      <c r="F12" s="18">
        <f t="shared" si="15"/>
        <v>80.40573843750002</v>
      </c>
      <c r="G12" s="18">
        <f t="shared" si="16"/>
        <v>91.126503562500019</v>
      </c>
      <c r="H12" s="18">
        <f t="shared" si="17"/>
        <v>100.50717304687502</v>
      </c>
      <c r="I12" s="14"/>
      <c r="J12" s="14"/>
      <c r="K12" s="14">
        <f t="shared" si="7"/>
        <v>0.3350239101562501</v>
      </c>
      <c r="L12" s="14">
        <f t="shared" si="7"/>
        <v>0.43553108320312511</v>
      </c>
      <c r="M12" s="14">
        <f t="shared" si="7"/>
        <v>0.50253586523437521</v>
      </c>
      <c r="N12" s="14">
        <f t="shared" si="7"/>
        <v>0.59187557460937534</v>
      </c>
      <c r="O12" s="14">
        <f t="shared" si="7"/>
        <v>0.67004782031250021</v>
      </c>
      <c r="P12" s="14">
        <f t="shared" si="7"/>
        <v>0.75938752968750012</v>
      </c>
      <c r="Q12" s="14">
        <f t="shared" si="7"/>
        <v>0.83755977539062521</v>
      </c>
      <c r="R12" s="14"/>
    </row>
    <row r="13" spans="1:18" x14ac:dyDescent="0.4">
      <c r="A13" s="3">
        <v>130</v>
      </c>
      <c r="B13" s="18">
        <f t="shared" si="11"/>
        <v>42.213012679687509</v>
      </c>
      <c r="C13" s="18">
        <f t="shared" si="12"/>
        <v>54.876916483593767</v>
      </c>
      <c r="D13" s="18">
        <f t="shared" si="13"/>
        <v>63.319519019531278</v>
      </c>
      <c r="E13" s="18">
        <f t="shared" si="14"/>
        <v>74.576322400781294</v>
      </c>
      <c r="F13" s="18">
        <f t="shared" si="15"/>
        <v>84.426025359375018</v>
      </c>
      <c r="G13" s="18">
        <f t="shared" si="16"/>
        <v>95.682828740625027</v>
      </c>
      <c r="H13" s="18">
        <f t="shared" si="17"/>
        <v>105.53253169921878</v>
      </c>
      <c r="I13" s="14"/>
      <c r="J13" s="14"/>
      <c r="K13" s="14">
        <f t="shared" si="7"/>
        <v>0.32471548215144236</v>
      </c>
      <c r="L13" s="14">
        <f t="shared" si="7"/>
        <v>0.42213012679687512</v>
      </c>
      <c r="M13" s="14">
        <f t="shared" si="7"/>
        <v>0.48707322322716368</v>
      </c>
      <c r="N13" s="14">
        <f t="shared" si="7"/>
        <v>0.57366401846754844</v>
      </c>
      <c r="O13" s="14">
        <f t="shared" si="7"/>
        <v>0.64943096430288472</v>
      </c>
      <c r="P13" s="14">
        <f t="shared" si="7"/>
        <v>0.73602175954326943</v>
      </c>
      <c r="Q13" s="14">
        <f t="shared" si="7"/>
        <v>0.81178870537860603</v>
      </c>
      <c r="R13" s="14"/>
    </row>
    <row r="14" spans="1:18" x14ac:dyDescent="0.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27.6" x14ac:dyDescent="0.4">
      <c r="A15" s="25" t="s">
        <v>71</v>
      </c>
      <c r="B15" s="26"/>
      <c r="C15" s="26"/>
      <c r="D15" s="26"/>
      <c r="E15" s="26"/>
      <c r="F15" s="26"/>
      <c r="G15" s="26"/>
      <c r="H15" s="26"/>
      <c r="I15" s="14"/>
      <c r="J15" s="14"/>
      <c r="K15" s="27" t="s">
        <v>72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I16" s="14"/>
      <c r="J16" s="14"/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  <c r="R16" s="14"/>
    </row>
    <row r="17" spans="1:18" x14ac:dyDescent="0.4">
      <c r="A17" s="2">
        <v>44</v>
      </c>
      <c r="B17" s="16">
        <f>B3/2</f>
        <v>12.860624999999999</v>
      </c>
      <c r="C17" s="16">
        <f>C3/2</f>
        <v>16.718812499999999</v>
      </c>
      <c r="D17" s="16">
        <f>D3/2</f>
        <v>19.290937499999998</v>
      </c>
      <c r="E17" s="16">
        <f>E3/2</f>
        <v>22.720437499999992</v>
      </c>
      <c r="F17" s="16">
        <f>F3/2</f>
        <v>25.721249999999998</v>
      </c>
      <c r="G17" s="16">
        <f>G3/2</f>
        <v>29.150749999999995</v>
      </c>
      <c r="H17" s="16">
        <f>H3/2</f>
        <v>32.151562499999997</v>
      </c>
      <c r="I17" s="14"/>
      <c r="J17" s="14"/>
      <c r="K17" s="14">
        <f>B17/$A17</f>
        <v>0.29228693181818177</v>
      </c>
      <c r="L17" s="14">
        <f>D17/$A17</f>
        <v>0.43843039772727271</v>
      </c>
      <c r="M17" s="14">
        <f>F17/$A17</f>
        <v>0.58457386363636354</v>
      </c>
      <c r="N17" s="14">
        <f>E17/$A17</f>
        <v>0.51637357954545438</v>
      </c>
      <c r="O17" s="14">
        <f>G17/$A17</f>
        <v>0.66251704545454537</v>
      </c>
      <c r="P17" s="14">
        <f>G17/$A17</f>
        <v>0.66251704545454537</v>
      </c>
      <c r="Q17" s="14">
        <f>H17/$A17</f>
        <v>0.73071732954545443</v>
      </c>
      <c r="R17" s="14"/>
    </row>
    <row r="18" spans="1:18" x14ac:dyDescent="0.4">
      <c r="A18" s="2">
        <v>48</v>
      </c>
      <c r="B18" s="16">
        <f>B4/2</f>
        <v>13.5375</v>
      </c>
      <c r="C18" s="16">
        <f>C4/2</f>
        <v>17.598749999999999</v>
      </c>
      <c r="D18" s="16">
        <f>D4/2</f>
        <v>20.306249999999999</v>
      </c>
      <c r="E18" s="16">
        <f>E4/2</f>
        <v>23.916249999999994</v>
      </c>
      <c r="F18" s="16">
        <f>F4/2</f>
        <v>27.074999999999999</v>
      </c>
      <c r="G18" s="16">
        <f>G4/2</f>
        <v>30.684999999999995</v>
      </c>
      <c r="H18" s="16">
        <f>H4/2</f>
        <v>33.84375</v>
      </c>
      <c r="I18" s="14"/>
      <c r="J18" s="14"/>
      <c r="K18" s="14">
        <f t="shared" ref="K18:K25" si="18">B18/$A18</f>
        <v>0.28203125000000001</v>
      </c>
      <c r="L18" s="14">
        <f t="shared" ref="L18:L25" si="19">D18/$A18</f>
        <v>0.42304687499999999</v>
      </c>
      <c r="M18" s="14">
        <f t="shared" ref="M18:M25" si="20">F18/$A18</f>
        <v>0.56406250000000002</v>
      </c>
      <c r="N18" s="14">
        <f t="shared" ref="N18:N25" si="21">E18/$A18</f>
        <v>0.4982552083333332</v>
      </c>
      <c r="O18" s="14">
        <f t="shared" ref="O18:O25" si="22">G18/$A18</f>
        <v>0.63927083333333323</v>
      </c>
      <c r="P18" s="14">
        <f t="shared" ref="P18:Q25" si="23">G18/$A18</f>
        <v>0.63927083333333323</v>
      </c>
      <c r="Q18" s="14">
        <f t="shared" si="23"/>
        <v>0.705078125</v>
      </c>
      <c r="R18" s="14"/>
    </row>
    <row r="19" spans="1:18" x14ac:dyDescent="0.4">
      <c r="A19" s="2">
        <v>52</v>
      </c>
      <c r="B19" s="16">
        <f>B5/2</f>
        <v>14.25</v>
      </c>
      <c r="C19" s="16">
        <f>C5/2</f>
        <v>18.524999999999999</v>
      </c>
      <c r="D19" s="16">
        <f>D5/2</f>
        <v>21.375</v>
      </c>
      <c r="E19" s="16">
        <f>E5/2</f>
        <v>25.174999999999997</v>
      </c>
      <c r="F19" s="16">
        <f>F5/2</f>
        <v>28.5</v>
      </c>
      <c r="G19" s="16">
        <f>G5/2</f>
        <v>32.299999999999997</v>
      </c>
      <c r="H19" s="16">
        <f>H5/2</f>
        <v>35.625</v>
      </c>
      <c r="I19" s="14"/>
      <c r="J19" s="14"/>
      <c r="K19" s="14">
        <f t="shared" si="18"/>
        <v>0.27403846153846156</v>
      </c>
      <c r="L19" s="14">
        <f t="shared" si="19"/>
        <v>0.41105769230769229</v>
      </c>
      <c r="M19" s="14">
        <f t="shared" si="20"/>
        <v>0.54807692307692313</v>
      </c>
      <c r="N19" s="14">
        <f t="shared" si="21"/>
        <v>0.48413461538461533</v>
      </c>
      <c r="O19" s="14">
        <f t="shared" si="22"/>
        <v>0.62115384615384606</v>
      </c>
      <c r="P19" s="14">
        <f t="shared" si="23"/>
        <v>0.62115384615384606</v>
      </c>
      <c r="Q19" s="14">
        <f t="shared" si="23"/>
        <v>0.68509615384615385</v>
      </c>
      <c r="R19" s="14"/>
    </row>
    <row r="20" spans="1:18" x14ac:dyDescent="0.4">
      <c r="A20" s="2">
        <v>56</v>
      </c>
      <c r="B20" s="16">
        <f t="shared" ref="B20:H21" si="24">B6/2</f>
        <v>15</v>
      </c>
      <c r="C20" s="16">
        <f t="shared" si="24"/>
        <v>19.5</v>
      </c>
      <c r="D20" s="16">
        <f t="shared" si="24"/>
        <v>22.5</v>
      </c>
      <c r="E20" s="16">
        <f t="shared" si="24"/>
        <v>26.5</v>
      </c>
      <c r="F20" s="16">
        <f t="shared" si="24"/>
        <v>30</v>
      </c>
      <c r="G20" s="16">
        <f t="shared" si="24"/>
        <v>34</v>
      </c>
      <c r="H20" s="16">
        <f t="shared" si="24"/>
        <v>37.5</v>
      </c>
      <c r="I20" s="14"/>
      <c r="J20" s="14"/>
      <c r="K20" s="14">
        <f t="shared" si="18"/>
        <v>0.26785714285714285</v>
      </c>
      <c r="L20" s="14">
        <f t="shared" si="19"/>
        <v>0.4017857142857143</v>
      </c>
      <c r="M20" s="14">
        <f t="shared" si="20"/>
        <v>0.5357142857142857</v>
      </c>
      <c r="N20" s="14">
        <f t="shared" si="21"/>
        <v>0.4732142857142857</v>
      </c>
      <c r="O20" s="14">
        <f t="shared" si="22"/>
        <v>0.6071428571428571</v>
      </c>
      <c r="P20" s="14">
        <f t="shared" si="23"/>
        <v>0.6071428571428571</v>
      </c>
      <c r="Q20" s="14">
        <f t="shared" si="23"/>
        <v>0.6696428571428571</v>
      </c>
      <c r="R20" s="14"/>
    </row>
    <row r="21" spans="1:18" x14ac:dyDescent="0.4">
      <c r="A21" s="2">
        <v>60</v>
      </c>
      <c r="B21" s="16">
        <f t="shared" si="24"/>
        <v>15.75</v>
      </c>
      <c r="C21" s="16">
        <f t="shared" si="24"/>
        <v>20.475000000000001</v>
      </c>
      <c r="D21" s="16">
        <f t="shared" si="24"/>
        <v>23.625</v>
      </c>
      <c r="E21" s="16">
        <f t="shared" si="24"/>
        <v>27.825000000000003</v>
      </c>
      <c r="F21" s="16">
        <f t="shared" si="24"/>
        <v>31.5</v>
      </c>
      <c r="G21" s="16">
        <f t="shared" si="24"/>
        <v>35.700000000000003</v>
      </c>
      <c r="H21" s="16">
        <f t="shared" si="24"/>
        <v>39.375</v>
      </c>
      <c r="I21" s="14"/>
      <c r="J21" s="14"/>
      <c r="K21" s="14">
        <f t="shared" si="18"/>
        <v>0.26250000000000001</v>
      </c>
      <c r="L21" s="14">
        <f t="shared" si="19"/>
        <v>0.39374999999999999</v>
      </c>
      <c r="M21" s="14">
        <f t="shared" si="20"/>
        <v>0.52500000000000002</v>
      </c>
      <c r="N21" s="14">
        <f t="shared" si="21"/>
        <v>0.46375000000000005</v>
      </c>
      <c r="O21" s="14">
        <f t="shared" si="22"/>
        <v>0.59500000000000008</v>
      </c>
      <c r="P21" s="14">
        <f t="shared" si="23"/>
        <v>0.59500000000000008</v>
      </c>
      <c r="Q21" s="14">
        <f t="shared" si="23"/>
        <v>0.65625</v>
      </c>
      <c r="R21" s="14"/>
    </row>
    <row r="22" spans="1:18" x14ac:dyDescent="0.4">
      <c r="A22" s="2">
        <v>67</v>
      </c>
      <c r="B22" s="16">
        <f>B8/2</f>
        <v>16.537500000000001</v>
      </c>
      <c r="C22" s="16">
        <f>C8/2</f>
        <v>21.498750000000001</v>
      </c>
      <c r="D22" s="16">
        <f>D8/2</f>
        <v>24.806250000000002</v>
      </c>
      <c r="E22" s="16">
        <f>E8/2</f>
        <v>29.216250000000006</v>
      </c>
      <c r="F22" s="16">
        <f>F8/2</f>
        <v>33.075000000000003</v>
      </c>
      <c r="G22" s="16">
        <f>G8/2</f>
        <v>37.485000000000007</v>
      </c>
      <c r="H22" s="16">
        <f>H8/2</f>
        <v>41.34375</v>
      </c>
      <c r="I22" s="14"/>
      <c r="J22" s="14"/>
      <c r="K22" s="14">
        <f t="shared" si="18"/>
        <v>0.24682835820895524</v>
      </c>
      <c r="L22" s="14">
        <f t="shared" si="19"/>
        <v>0.37024253731343287</v>
      </c>
      <c r="M22" s="14">
        <f t="shared" si="20"/>
        <v>0.49365671641791048</v>
      </c>
      <c r="N22" s="14">
        <f t="shared" si="21"/>
        <v>0.436063432835821</v>
      </c>
      <c r="O22" s="14">
        <f t="shared" si="22"/>
        <v>0.55947761194029866</v>
      </c>
      <c r="P22" s="14">
        <f t="shared" si="23"/>
        <v>0.55947761194029866</v>
      </c>
      <c r="Q22" s="14">
        <f t="shared" si="23"/>
        <v>0.61707089552238803</v>
      </c>
      <c r="R22" s="14"/>
    </row>
    <row r="23" spans="1:18" x14ac:dyDescent="0.4">
      <c r="A23" s="2">
        <v>75</v>
      </c>
      <c r="B23" s="16">
        <f>B9/2</f>
        <v>17.364375000000003</v>
      </c>
      <c r="C23" s="16">
        <f>C9/2</f>
        <v>22.573687500000002</v>
      </c>
      <c r="D23" s="16">
        <f>D9/2</f>
        <v>26.046562500000004</v>
      </c>
      <c r="E23" s="16">
        <f>E9/2</f>
        <v>30.677062500000009</v>
      </c>
      <c r="F23" s="16">
        <f>F9/2</f>
        <v>34.728750000000005</v>
      </c>
      <c r="G23" s="16">
        <f>G9/2</f>
        <v>39.35925000000001</v>
      </c>
      <c r="H23" s="16">
        <f>H9/2</f>
        <v>43.410937500000003</v>
      </c>
      <c r="I23" s="14"/>
      <c r="J23" s="14"/>
      <c r="K23" s="14">
        <f t="shared" si="18"/>
        <v>0.23152500000000004</v>
      </c>
      <c r="L23" s="14">
        <f t="shared" si="19"/>
        <v>0.34728750000000003</v>
      </c>
      <c r="M23" s="14">
        <f t="shared" si="20"/>
        <v>0.46305000000000007</v>
      </c>
      <c r="N23" s="14">
        <f t="shared" si="21"/>
        <v>0.4090275000000001</v>
      </c>
      <c r="O23" s="14">
        <f t="shared" si="22"/>
        <v>0.52479000000000009</v>
      </c>
      <c r="P23" s="14">
        <f t="shared" si="23"/>
        <v>0.52479000000000009</v>
      </c>
      <c r="Q23" s="14">
        <f t="shared" si="23"/>
        <v>0.57881250000000006</v>
      </c>
      <c r="R23" s="14"/>
    </row>
    <row r="24" spans="1:18" x14ac:dyDescent="0.4">
      <c r="A24" s="2">
        <v>82</v>
      </c>
      <c r="B24" s="16">
        <f>B10/2</f>
        <v>18.232593750000003</v>
      </c>
      <c r="C24" s="16">
        <f>C10/2</f>
        <v>23.702371875000004</v>
      </c>
      <c r="D24" s="16">
        <f>D10/2</f>
        <v>27.348890625000006</v>
      </c>
      <c r="E24" s="16">
        <f>E10/2</f>
        <v>32.210915625000013</v>
      </c>
      <c r="F24" s="16">
        <f>F10/2</f>
        <v>36.465187500000006</v>
      </c>
      <c r="G24" s="16">
        <f>G10/2</f>
        <v>41.327212500000009</v>
      </c>
      <c r="H24" s="16">
        <f>H10/2</f>
        <v>45.581484375000002</v>
      </c>
      <c r="I24" s="14"/>
      <c r="J24" s="14"/>
      <c r="K24" s="14">
        <f t="shared" si="18"/>
        <v>0.22234870426829273</v>
      </c>
      <c r="L24" s="14">
        <f t="shared" si="19"/>
        <v>0.33352305640243912</v>
      </c>
      <c r="M24" s="14">
        <f t="shared" si="20"/>
        <v>0.44469740853658546</v>
      </c>
      <c r="N24" s="14">
        <f t="shared" si="21"/>
        <v>0.39281604420731725</v>
      </c>
      <c r="O24" s="14">
        <f t="shared" si="22"/>
        <v>0.50399039634146348</v>
      </c>
      <c r="P24" s="14">
        <f t="shared" si="23"/>
        <v>0.50399039634146348</v>
      </c>
      <c r="Q24" s="14">
        <f t="shared" si="23"/>
        <v>0.55587176067073174</v>
      </c>
      <c r="R24" s="14"/>
    </row>
    <row r="25" spans="1:18" x14ac:dyDescent="0.4">
      <c r="A25" s="2">
        <v>90</v>
      </c>
      <c r="B25" s="16">
        <f>B11/2</f>
        <v>19.144223437500003</v>
      </c>
      <c r="C25" s="16">
        <f>C11/2</f>
        <v>24.887490468750006</v>
      </c>
      <c r="D25" s="16">
        <f>D11/2</f>
        <v>28.716335156250008</v>
      </c>
      <c r="E25" s="16">
        <f>E11/2</f>
        <v>33.821461406250016</v>
      </c>
      <c r="F25" s="16">
        <f>F11/2</f>
        <v>38.288446875000005</v>
      </c>
      <c r="G25" s="16">
        <f>G11/2</f>
        <v>43.39357312500001</v>
      </c>
      <c r="H25" s="16">
        <f>H11/2</f>
        <v>47.860558593750007</v>
      </c>
      <c r="I25" s="14"/>
      <c r="J25" s="14"/>
      <c r="K25" s="14">
        <f t="shared" si="18"/>
        <v>0.21271359375000004</v>
      </c>
      <c r="L25" s="14">
        <f t="shared" si="19"/>
        <v>0.31907039062500009</v>
      </c>
      <c r="M25" s="14">
        <f t="shared" si="20"/>
        <v>0.42542718750000008</v>
      </c>
      <c r="N25" s="14">
        <f t="shared" si="21"/>
        <v>0.3757940156250002</v>
      </c>
      <c r="O25" s="14">
        <f t="shared" si="22"/>
        <v>0.48215081250000014</v>
      </c>
      <c r="P25" s="14">
        <f t="shared" si="23"/>
        <v>0.48215081250000014</v>
      </c>
      <c r="Q25" s="14">
        <f t="shared" si="23"/>
        <v>0.53178398437500007</v>
      </c>
      <c r="R25" s="14"/>
    </row>
    <row r="26" spans="1:18" x14ac:dyDescent="0.4">
      <c r="A26" s="4"/>
      <c r="B26" s="16"/>
      <c r="C26" s="16"/>
      <c r="D26" s="16"/>
      <c r="E26" s="16"/>
      <c r="F26" s="16"/>
      <c r="G26" s="16"/>
      <c r="H26" s="16"/>
      <c r="I26" s="5"/>
      <c r="J26" s="14"/>
      <c r="K26" s="14"/>
      <c r="L26" s="14"/>
      <c r="M26" s="14"/>
      <c r="N26" s="14"/>
      <c r="O26" s="14"/>
      <c r="P26" s="14"/>
      <c r="Q26" s="14"/>
      <c r="R26" s="14"/>
    </row>
    <row r="27" spans="1:18" x14ac:dyDescent="0.4">
      <c r="A27" s="4"/>
      <c r="B27" s="16"/>
      <c r="C27" s="16"/>
      <c r="D27" s="16"/>
      <c r="E27" s="16"/>
      <c r="F27" s="16"/>
      <c r="G27" s="16"/>
      <c r="H27" s="16"/>
      <c r="I27" s="5"/>
      <c r="J27" s="14"/>
      <c r="K27" s="14"/>
      <c r="L27" s="14"/>
      <c r="M27" s="14"/>
      <c r="N27" s="14"/>
      <c r="O27" s="14"/>
      <c r="P27" s="14"/>
      <c r="Q27" s="14"/>
      <c r="R27" s="14"/>
    </row>
    <row r="28" spans="1:18" x14ac:dyDescent="0.4">
      <c r="A28" s="5"/>
      <c r="B28" s="5"/>
      <c r="C28" s="5"/>
      <c r="D28" s="5"/>
      <c r="E28" s="5"/>
      <c r="F28" s="5"/>
      <c r="G28" s="5"/>
      <c r="H28" s="5"/>
      <c r="I28" s="14"/>
      <c r="J28" s="14"/>
      <c r="K28" s="14"/>
      <c r="L28" s="14"/>
      <c r="M28" s="14"/>
      <c r="N28" s="14"/>
      <c r="O28" s="14"/>
      <c r="P28" s="14"/>
      <c r="Q28" s="14"/>
      <c r="R28" s="14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zoomScale="94" zoomScaleNormal="94" workbookViewId="0">
      <selection activeCell="J16" sqref="J16"/>
    </sheetView>
  </sheetViews>
  <sheetFormatPr defaultRowHeight="17.399999999999999" x14ac:dyDescent="0.4"/>
  <sheetData>
    <row r="1" spans="1:18" ht="25.2" x14ac:dyDescent="0.4">
      <c r="A1" s="25" t="s">
        <v>57</v>
      </c>
      <c r="B1" s="26"/>
      <c r="C1" s="26"/>
      <c r="D1" s="26"/>
      <c r="E1" s="26"/>
      <c r="F1" s="26"/>
      <c r="G1" s="26"/>
      <c r="H1" s="26"/>
      <c r="I1" s="14"/>
      <c r="J1" s="14"/>
      <c r="K1" s="25" t="s">
        <v>59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I2" s="14"/>
      <c r="J2" s="14"/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  <c r="R2" s="14"/>
    </row>
    <row r="3" spans="1:18" x14ac:dyDescent="0.4">
      <c r="A3" s="3">
        <v>55</v>
      </c>
      <c r="B3" s="16">
        <f>B4*0.95</f>
        <v>20.362656249999997</v>
      </c>
      <c r="C3" s="16">
        <f t="shared" ref="C3" si="0">C4*0.95</f>
        <v>28.507718749999995</v>
      </c>
      <c r="D3" s="16">
        <f t="shared" ref="D3" si="1">D4*0.95</f>
        <v>36.652781249999997</v>
      </c>
      <c r="E3" s="16">
        <f t="shared" ref="E3" si="2">E4*0.95</f>
        <v>44.797843749999991</v>
      </c>
      <c r="F3" s="16">
        <f t="shared" ref="F3" si="3">F4*0.95</f>
        <v>52.942906249999986</v>
      </c>
      <c r="G3" s="16">
        <f t="shared" ref="G3" si="4">G4*0.95</f>
        <v>61.087968749999995</v>
      </c>
      <c r="H3" s="16">
        <f t="shared" ref="H3" si="5">H4*0.95</f>
        <v>69.233031249999982</v>
      </c>
      <c r="I3" s="14"/>
      <c r="J3" s="14"/>
      <c r="K3" s="14">
        <f t="shared" ref="K3:Q13" si="6">B3/$A3</f>
        <v>0.3702301136363636</v>
      </c>
      <c r="L3" s="14">
        <f t="shared" si="6"/>
        <v>0.51832215909090895</v>
      </c>
      <c r="M3" s="14">
        <f t="shared" si="6"/>
        <v>0.66641420454545452</v>
      </c>
      <c r="N3" s="14">
        <f t="shared" si="6"/>
        <v>0.81450624999999988</v>
      </c>
      <c r="O3" s="14">
        <f t="shared" si="6"/>
        <v>0.96259829545454523</v>
      </c>
      <c r="P3" s="14">
        <f t="shared" si="6"/>
        <v>1.1106903409090909</v>
      </c>
      <c r="Q3" s="14">
        <f t="shared" si="6"/>
        <v>1.258782386363636</v>
      </c>
      <c r="R3" s="14"/>
    </row>
    <row r="4" spans="1:18" x14ac:dyDescent="0.4">
      <c r="A4" s="3">
        <v>60</v>
      </c>
      <c r="B4" s="16">
        <f t="shared" ref="B4:B5" si="7">B5*0.95</f>
        <v>21.434374999999999</v>
      </c>
      <c r="C4" s="16">
        <f t="shared" ref="C4:C5" si="8">C5*0.95</f>
        <v>30.008124999999996</v>
      </c>
      <c r="D4" s="16">
        <f t="shared" ref="D4:D5" si="9">D5*0.95</f>
        <v>38.581874999999997</v>
      </c>
      <c r="E4" s="16">
        <f t="shared" ref="E4:E5" si="10">E5*0.95</f>
        <v>47.155624999999993</v>
      </c>
      <c r="F4" s="16">
        <f t="shared" ref="F4:F5" si="11">F5*0.95</f>
        <v>55.72937499999999</v>
      </c>
      <c r="G4" s="16">
        <f t="shared" ref="G4:G5" si="12">G5*0.95</f>
        <v>64.303124999999994</v>
      </c>
      <c r="H4" s="16">
        <f t="shared" ref="H4:H5" si="13">H5*0.95</f>
        <v>72.876874999999984</v>
      </c>
      <c r="I4" s="14"/>
      <c r="J4" s="14"/>
      <c r="K4" s="14">
        <f t="shared" si="6"/>
        <v>0.35723958333333333</v>
      </c>
      <c r="L4" s="14">
        <f t="shared" si="6"/>
        <v>0.50013541666666661</v>
      </c>
      <c r="M4" s="14">
        <f t="shared" si="6"/>
        <v>0.64303124999999994</v>
      </c>
      <c r="N4" s="14">
        <f t="shared" si="6"/>
        <v>0.78592708333333328</v>
      </c>
      <c r="O4" s="14">
        <f t="shared" si="6"/>
        <v>0.9288229166666665</v>
      </c>
      <c r="P4" s="14">
        <f t="shared" si="6"/>
        <v>1.0717187499999998</v>
      </c>
      <c r="Q4" s="14">
        <f t="shared" si="6"/>
        <v>1.2146145833333331</v>
      </c>
      <c r="R4" s="14"/>
    </row>
    <row r="5" spans="1:18" x14ac:dyDescent="0.4">
      <c r="A5" s="3">
        <v>65</v>
      </c>
      <c r="B5" s="16">
        <f t="shared" si="7"/>
        <v>22.5625</v>
      </c>
      <c r="C5" s="16">
        <f t="shared" si="8"/>
        <v>31.587499999999999</v>
      </c>
      <c r="D5" s="16">
        <f t="shared" si="9"/>
        <v>40.612499999999997</v>
      </c>
      <c r="E5" s="16">
        <f t="shared" si="10"/>
        <v>49.637499999999996</v>
      </c>
      <c r="F5" s="16">
        <f t="shared" si="11"/>
        <v>58.662499999999994</v>
      </c>
      <c r="G5" s="16">
        <f t="shared" si="12"/>
        <v>67.6875</v>
      </c>
      <c r="H5" s="16">
        <f t="shared" si="13"/>
        <v>76.712499999999991</v>
      </c>
      <c r="I5" s="14"/>
      <c r="J5" s="14"/>
      <c r="K5" s="14">
        <f t="shared" si="6"/>
        <v>0.3471153846153846</v>
      </c>
      <c r="L5" s="14">
        <f t="shared" si="6"/>
        <v>0.48596153846153844</v>
      </c>
      <c r="M5" s="14">
        <f t="shared" si="6"/>
        <v>0.62480769230769229</v>
      </c>
      <c r="N5" s="14">
        <f t="shared" si="6"/>
        <v>0.76365384615384613</v>
      </c>
      <c r="O5" s="14">
        <f t="shared" si="6"/>
        <v>0.90249999999999986</v>
      </c>
      <c r="P5" s="14">
        <f t="shared" si="6"/>
        <v>1.0413461538461539</v>
      </c>
      <c r="Q5" s="14">
        <f t="shared" si="6"/>
        <v>1.1801923076923075</v>
      </c>
      <c r="R5" s="14"/>
    </row>
    <row r="6" spans="1:18" x14ac:dyDescent="0.4">
      <c r="A6" s="3">
        <v>70</v>
      </c>
      <c r="B6" s="22">
        <f>B7*0.95</f>
        <v>23.75</v>
      </c>
      <c r="C6" s="22">
        <f t="shared" ref="C6:H6" si="14">C7*0.95</f>
        <v>33.25</v>
      </c>
      <c r="D6" s="23">
        <f t="shared" si="14"/>
        <v>42.75</v>
      </c>
      <c r="E6" s="22">
        <f t="shared" si="14"/>
        <v>52.25</v>
      </c>
      <c r="F6" s="22">
        <f t="shared" si="14"/>
        <v>61.75</v>
      </c>
      <c r="G6" s="22">
        <f t="shared" si="14"/>
        <v>71.25</v>
      </c>
      <c r="H6" s="22">
        <f t="shared" si="14"/>
        <v>80.75</v>
      </c>
      <c r="I6" s="14"/>
      <c r="J6" s="14"/>
      <c r="K6" s="14">
        <f t="shared" si="6"/>
        <v>0.3392857142857143</v>
      </c>
      <c r="L6" s="14">
        <f t="shared" si="6"/>
        <v>0.47499999999999998</v>
      </c>
      <c r="M6" s="14">
        <f t="shared" si="6"/>
        <v>0.61071428571428577</v>
      </c>
      <c r="N6" s="14">
        <f t="shared" si="6"/>
        <v>0.74642857142857144</v>
      </c>
      <c r="O6" s="14">
        <f t="shared" si="6"/>
        <v>0.88214285714285712</v>
      </c>
      <c r="P6" s="14">
        <f t="shared" si="6"/>
        <v>1.0178571428571428</v>
      </c>
      <c r="Q6" s="14">
        <f t="shared" si="6"/>
        <v>1.1535714285714285</v>
      </c>
      <c r="R6" s="14"/>
    </row>
    <row r="7" spans="1:18" x14ac:dyDescent="0.4">
      <c r="A7" s="3">
        <v>75</v>
      </c>
      <c r="B7" s="18">
        <v>25</v>
      </c>
      <c r="C7" s="16">
        <v>35</v>
      </c>
      <c r="D7" s="18">
        <v>45</v>
      </c>
      <c r="E7" s="16">
        <v>55</v>
      </c>
      <c r="F7" s="16">
        <v>65</v>
      </c>
      <c r="G7" s="16">
        <v>75</v>
      </c>
      <c r="H7" s="16">
        <v>85</v>
      </c>
      <c r="I7" s="14"/>
      <c r="J7" s="14"/>
      <c r="K7" s="14">
        <f t="shared" si="6"/>
        <v>0.33333333333333331</v>
      </c>
      <c r="L7" s="14">
        <f t="shared" si="6"/>
        <v>0.46666666666666667</v>
      </c>
      <c r="M7" s="14">
        <f t="shared" si="6"/>
        <v>0.6</v>
      </c>
      <c r="N7" s="14">
        <f t="shared" si="6"/>
        <v>0.73333333333333328</v>
      </c>
      <c r="O7" s="14">
        <f t="shared" si="6"/>
        <v>0.8666666666666667</v>
      </c>
      <c r="P7" s="14">
        <f t="shared" si="6"/>
        <v>1</v>
      </c>
      <c r="Q7" s="14">
        <f t="shared" si="6"/>
        <v>1.1333333333333333</v>
      </c>
      <c r="R7" s="14"/>
    </row>
    <row r="8" spans="1:18" x14ac:dyDescent="0.4">
      <c r="A8" s="3">
        <v>82</v>
      </c>
      <c r="B8" s="16">
        <f t="shared" ref="B8:B13" si="15">B7*1.05</f>
        <v>26.25</v>
      </c>
      <c r="C8" s="16">
        <f t="shared" ref="C8:H8" si="16">C7*1.05</f>
        <v>36.75</v>
      </c>
      <c r="D8" s="16">
        <f t="shared" si="16"/>
        <v>47.25</v>
      </c>
      <c r="E8" s="16">
        <f t="shared" si="16"/>
        <v>57.75</v>
      </c>
      <c r="F8" s="16">
        <f t="shared" si="16"/>
        <v>68.25</v>
      </c>
      <c r="G8" s="16">
        <f t="shared" si="16"/>
        <v>78.75</v>
      </c>
      <c r="H8" s="16">
        <f t="shared" si="16"/>
        <v>89.25</v>
      </c>
      <c r="I8" s="14"/>
      <c r="J8" s="14"/>
      <c r="K8" s="14">
        <f t="shared" si="6"/>
        <v>0.3201219512195122</v>
      </c>
      <c r="L8" s="14">
        <f t="shared" si="6"/>
        <v>0.44817073170731708</v>
      </c>
      <c r="M8" s="14">
        <f t="shared" si="6"/>
        <v>0.57621951219512191</v>
      </c>
      <c r="N8" s="14">
        <f t="shared" si="6"/>
        <v>0.70426829268292679</v>
      </c>
      <c r="O8" s="14">
        <f t="shared" si="6"/>
        <v>0.83231707317073167</v>
      </c>
      <c r="P8" s="14">
        <f t="shared" si="6"/>
        <v>0.96036585365853655</v>
      </c>
      <c r="Q8" s="14">
        <f t="shared" si="6"/>
        <v>1.0884146341463414</v>
      </c>
      <c r="R8" s="14"/>
    </row>
    <row r="9" spans="1:18" x14ac:dyDescent="0.4">
      <c r="A9" s="3">
        <v>90</v>
      </c>
      <c r="B9" s="16">
        <f t="shared" si="15"/>
        <v>27.5625</v>
      </c>
      <c r="C9" s="16">
        <f t="shared" ref="C9:C13" si="17">C8*1.05</f>
        <v>38.587499999999999</v>
      </c>
      <c r="D9" s="16">
        <f t="shared" ref="D9:D13" si="18">D8*1.05</f>
        <v>49.612500000000004</v>
      </c>
      <c r="E9" s="16">
        <f t="shared" ref="E9:E13" si="19">E8*1.05</f>
        <v>60.637500000000003</v>
      </c>
      <c r="F9" s="16">
        <f t="shared" ref="F9:F13" si="20">F8*1.05</f>
        <v>71.662500000000009</v>
      </c>
      <c r="G9" s="16">
        <f t="shared" ref="G9:G13" si="21">G8*1.05</f>
        <v>82.6875</v>
      </c>
      <c r="H9" s="16">
        <f t="shared" ref="H9:H13" si="22">H8*1.05</f>
        <v>93.712500000000006</v>
      </c>
      <c r="I9" s="14"/>
      <c r="J9" s="14"/>
      <c r="K9" s="14">
        <f t="shared" si="6"/>
        <v>0.30625000000000002</v>
      </c>
      <c r="L9" s="14">
        <f t="shared" si="6"/>
        <v>0.42874999999999996</v>
      </c>
      <c r="M9" s="14">
        <f t="shared" si="6"/>
        <v>0.55125000000000002</v>
      </c>
      <c r="N9" s="14">
        <f t="shared" si="6"/>
        <v>0.67375000000000007</v>
      </c>
      <c r="O9" s="14">
        <f t="shared" si="6"/>
        <v>0.79625000000000012</v>
      </c>
      <c r="P9" s="14">
        <f t="shared" si="6"/>
        <v>0.91874999999999996</v>
      </c>
      <c r="Q9" s="14">
        <f t="shared" si="6"/>
        <v>1.04125</v>
      </c>
      <c r="R9" s="14"/>
    </row>
    <row r="10" spans="1:18" x14ac:dyDescent="0.4">
      <c r="A10" s="3">
        <v>100</v>
      </c>
      <c r="B10" s="16">
        <f t="shared" si="15"/>
        <v>28.940625000000001</v>
      </c>
      <c r="C10" s="16">
        <f t="shared" si="17"/>
        <v>40.516874999999999</v>
      </c>
      <c r="D10" s="16">
        <f t="shared" si="18"/>
        <v>52.093125000000008</v>
      </c>
      <c r="E10" s="16">
        <f t="shared" si="19"/>
        <v>63.669375000000002</v>
      </c>
      <c r="F10" s="16">
        <f t="shared" si="20"/>
        <v>75.245625000000018</v>
      </c>
      <c r="G10" s="16">
        <f t="shared" si="21"/>
        <v>86.821875000000006</v>
      </c>
      <c r="H10" s="16">
        <f t="shared" si="22"/>
        <v>98.398125000000007</v>
      </c>
      <c r="I10" s="14"/>
      <c r="J10" s="14"/>
      <c r="K10" s="14">
        <f t="shared" si="6"/>
        <v>0.28940625000000003</v>
      </c>
      <c r="L10" s="14">
        <f t="shared" si="6"/>
        <v>0.40516874999999997</v>
      </c>
      <c r="M10" s="14">
        <f t="shared" si="6"/>
        <v>0.52093125000000007</v>
      </c>
      <c r="N10" s="14">
        <f t="shared" si="6"/>
        <v>0.63669375000000006</v>
      </c>
      <c r="O10" s="14">
        <f t="shared" si="6"/>
        <v>0.75245625000000016</v>
      </c>
      <c r="P10" s="14">
        <f t="shared" si="6"/>
        <v>0.86821875000000004</v>
      </c>
      <c r="Q10" s="14">
        <f t="shared" si="6"/>
        <v>0.98398125000000003</v>
      </c>
      <c r="R10" s="14"/>
    </row>
    <row r="11" spans="1:18" x14ac:dyDescent="0.4">
      <c r="A11" s="3">
        <v>110</v>
      </c>
      <c r="B11" s="16">
        <f t="shared" si="15"/>
        <v>30.387656250000003</v>
      </c>
      <c r="C11" s="16">
        <f t="shared" si="17"/>
        <v>42.542718749999999</v>
      </c>
      <c r="D11" s="16">
        <f t="shared" si="18"/>
        <v>54.697781250000013</v>
      </c>
      <c r="E11" s="16">
        <f t="shared" si="19"/>
        <v>66.852843750000005</v>
      </c>
      <c r="F11" s="16">
        <f t="shared" si="20"/>
        <v>79.007906250000019</v>
      </c>
      <c r="G11" s="16">
        <f t="shared" si="21"/>
        <v>91.162968750000005</v>
      </c>
      <c r="H11" s="16">
        <f t="shared" si="22"/>
        <v>103.31803125000002</v>
      </c>
      <c r="I11" s="14"/>
      <c r="J11" s="14"/>
      <c r="K11" s="14">
        <f t="shared" si="6"/>
        <v>0.27625142045454548</v>
      </c>
      <c r="L11" s="14">
        <f t="shared" si="6"/>
        <v>0.38675198863636362</v>
      </c>
      <c r="M11" s="14">
        <f t="shared" si="6"/>
        <v>0.49725255681818192</v>
      </c>
      <c r="N11" s="14">
        <f t="shared" si="6"/>
        <v>0.60775312500000001</v>
      </c>
      <c r="O11" s="14">
        <f t="shared" si="6"/>
        <v>0.71825369318181831</v>
      </c>
      <c r="P11" s="14">
        <f t="shared" si="6"/>
        <v>0.82875426136363639</v>
      </c>
      <c r="Q11" s="14">
        <f t="shared" si="6"/>
        <v>0.93925482954545469</v>
      </c>
      <c r="R11" s="14"/>
    </row>
    <row r="12" spans="1:18" x14ac:dyDescent="0.4">
      <c r="A12" s="3">
        <v>120</v>
      </c>
      <c r="B12" s="16">
        <f t="shared" si="15"/>
        <v>31.907039062500004</v>
      </c>
      <c r="C12" s="16">
        <f t="shared" si="17"/>
        <v>44.669854687499999</v>
      </c>
      <c r="D12" s="16">
        <f t="shared" si="18"/>
        <v>57.432670312500015</v>
      </c>
      <c r="E12" s="16">
        <f t="shared" si="19"/>
        <v>70.19548593750001</v>
      </c>
      <c r="F12" s="16">
        <f t="shared" si="20"/>
        <v>82.958301562500026</v>
      </c>
      <c r="G12" s="16">
        <f t="shared" si="21"/>
        <v>95.721117187500013</v>
      </c>
      <c r="H12" s="16">
        <f t="shared" si="22"/>
        <v>108.48393281250003</v>
      </c>
      <c r="I12" s="14"/>
      <c r="J12" s="14"/>
      <c r="K12" s="14">
        <f t="shared" si="6"/>
        <v>0.26589199218750004</v>
      </c>
      <c r="L12" s="14">
        <f t="shared" si="6"/>
        <v>0.37224878906249997</v>
      </c>
      <c r="M12" s="14">
        <f t="shared" si="6"/>
        <v>0.47860558593750013</v>
      </c>
      <c r="N12" s="14">
        <f t="shared" si="6"/>
        <v>0.58496238281250013</v>
      </c>
      <c r="O12" s="14">
        <f t="shared" si="6"/>
        <v>0.69131917968750023</v>
      </c>
      <c r="P12" s="14">
        <f t="shared" si="6"/>
        <v>0.79767597656250011</v>
      </c>
      <c r="Q12" s="14">
        <f t="shared" si="6"/>
        <v>0.90403277343750021</v>
      </c>
      <c r="R12" s="14"/>
    </row>
    <row r="13" spans="1:18" x14ac:dyDescent="0.4">
      <c r="A13" s="3">
        <v>130</v>
      </c>
      <c r="B13" s="16">
        <f t="shared" si="15"/>
        <v>33.502391015625008</v>
      </c>
      <c r="C13" s="16">
        <f t="shared" si="17"/>
        <v>46.903347421875004</v>
      </c>
      <c r="D13" s="16">
        <f t="shared" si="18"/>
        <v>60.304303828125022</v>
      </c>
      <c r="E13" s="16">
        <f t="shared" si="19"/>
        <v>73.705260234375018</v>
      </c>
      <c r="F13" s="16">
        <f t="shared" si="20"/>
        <v>87.106216640625036</v>
      </c>
      <c r="G13" s="16">
        <f t="shared" si="21"/>
        <v>100.50717304687502</v>
      </c>
      <c r="H13" s="16">
        <f t="shared" si="22"/>
        <v>113.90812945312504</v>
      </c>
      <c r="I13" s="14"/>
      <c r="J13" s="14"/>
      <c r="K13" s="14">
        <f t="shared" si="6"/>
        <v>0.25771070012019237</v>
      </c>
      <c r="L13" s="14">
        <f t="shared" si="6"/>
        <v>0.36079498016826927</v>
      </c>
      <c r="M13" s="14">
        <f t="shared" si="6"/>
        <v>0.46387926021634635</v>
      </c>
      <c r="N13" s="14">
        <f t="shared" si="6"/>
        <v>0.56696354026442319</v>
      </c>
      <c r="O13" s="14">
        <f t="shared" si="6"/>
        <v>0.67004782031250032</v>
      </c>
      <c r="P13" s="14">
        <f t="shared" si="6"/>
        <v>0.77313210036057711</v>
      </c>
      <c r="Q13" s="14">
        <f t="shared" si="6"/>
        <v>0.87621638040865413</v>
      </c>
      <c r="R13" s="14"/>
    </row>
    <row r="14" spans="1:18" x14ac:dyDescent="0.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27.6" x14ac:dyDescent="0.4">
      <c r="A15" s="25" t="s">
        <v>58</v>
      </c>
      <c r="B15" s="26"/>
      <c r="C15" s="26"/>
      <c r="D15" s="26"/>
      <c r="E15" s="26"/>
      <c r="F15" s="26"/>
      <c r="G15" s="26"/>
      <c r="H15" s="26"/>
      <c r="I15" s="14"/>
      <c r="J15" s="14"/>
      <c r="K15" s="27" t="s">
        <v>60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I16" s="14"/>
      <c r="J16" s="14"/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  <c r="R16" s="14"/>
    </row>
    <row r="17" spans="1:18" x14ac:dyDescent="0.4">
      <c r="A17" s="2">
        <v>44</v>
      </c>
      <c r="B17" s="16">
        <f>B3/2</f>
        <v>10.181328124999999</v>
      </c>
      <c r="C17" s="16">
        <f>C3/2</f>
        <v>14.253859374999998</v>
      </c>
      <c r="D17" s="16">
        <f>D3/2</f>
        <v>18.326390624999998</v>
      </c>
      <c r="E17" s="16">
        <f>E3/2</f>
        <v>22.398921874999996</v>
      </c>
      <c r="F17" s="16">
        <f>F3/2</f>
        <v>26.471453124999993</v>
      </c>
      <c r="G17" s="16">
        <f>G3/2</f>
        <v>30.543984374999997</v>
      </c>
      <c r="H17" s="16">
        <f>H3/2</f>
        <v>34.616515624999991</v>
      </c>
      <c r="I17" s="14"/>
      <c r="J17" s="14"/>
      <c r="K17" s="14">
        <f>B17/$A17</f>
        <v>0.23139382102272724</v>
      </c>
      <c r="L17" s="14">
        <f>D17/$A17</f>
        <v>0.41650887784090906</v>
      </c>
      <c r="M17" s="14">
        <f>F17/$A17</f>
        <v>0.6016239346590907</v>
      </c>
      <c r="N17" s="14">
        <f>E17/$A17</f>
        <v>0.50906640624999988</v>
      </c>
      <c r="O17" s="14">
        <f>G17/$A17</f>
        <v>0.69418146306818174</v>
      </c>
      <c r="P17" s="14">
        <f>G17/$A17</f>
        <v>0.69418146306818174</v>
      </c>
      <c r="Q17" s="14">
        <f>H17/$A17</f>
        <v>0.78673899147727255</v>
      </c>
      <c r="R17" s="14"/>
    </row>
    <row r="18" spans="1:18" x14ac:dyDescent="0.4">
      <c r="A18" s="2">
        <v>48</v>
      </c>
      <c r="B18" s="16">
        <f>B4/2</f>
        <v>10.7171875</v>
      </c>
      <c r="C18" s="16">
        <f>C4/2</f>
        <v>15.004062499999998</v>
      </c>
      <c r="D18" s="16">
        <f>D4/2</f>
        <v>19.290937499999998</v>
      </c>
      <c r="E18" s="16">
        <f>E4/2</f>
        <v>23.577812499999997</v>
      </c>
      <c r="F18" s="16">
        <f>F4/2</f>
        <v>27.864687499999995</v>
      </c>
      <c r="G18" s="16">
        <f>G4/2</f>
        <v>32.151562499999997</v>
      </c>
      <c r="H18" s="16">
        <f>H4/2</f>
        <v>36.438437499999992</v>
      </c>
      <c r="I18" s="14"/>
      <c r="J18" s="14"/>
      <c r="K18" s="14">
        <f t="shared" ref="K18:K25" si="23">B18/$A18</f>
        <v>0.22327473958333333</v>
      </c>
      <c r="L18" s="14">
        <f t="shared" ref="L18:L25" si="24">D18/$A18</f>
        <v>0.40189453124999996</v>
      </c>
      <c r="M18" s="14">
        <f t="shared" ref="M18:M25" si="25">F18/$A18</f>
        <v>0.5805143229166666</v>
      </c>
      <c r="N18" s="14">
        <f t="shared" ref="N18:N25" si="26">E18/$A18</f>
        <v>0.49120442708333328</v>
      </c>
      <c r="O18" s="14">
        <f t="shared" ref="O18:O25" si="27">G18/$A18</f>
        <v>0.66982421874999998</v>
      </c>
      <c r="P18" s="14">
        <f t="shared" ref="P18:Q25" si="28">G18/$A18</f>
        <v>0.66982421874999998</v>
      </c>
      <c r="Q18" s="14">
        <f t="shared" si="28"/>
        <v>0.75913411458333313</v>
      </c>
      <c r="R18" s="14"/>
    </row>
    <row r="19" spans="1:18" x14ac:dyDescent="0.4">
      <c r="A19" s="2">
        <v>52</v>
      </c>
      <c r="B19" s="16">
        <f t="shared" ref="B19:H19" si="29">B5/2</f>
        <v>11.28125</v>
      </c>
      <c r="C19" s="16">
        <f t="shared" si="29"/>
        <v>15.793749999999999</v>
      </c>
      <c r="D19" s="16">
        <f t="shared" si="29"/>
        <v>20.306249999999999</v>
      </c>
      <c r="E19" s="16">
        <f t="shared" si="29"/>
        <v>24.818749999999998</v>
      </c>
      <c r="F19" s="16">
        <f t="shared" si="29"/>
        <v>29.331249999999997</v>
      </c>
      <c r="G19" s="16">
        <f t="shared" si="29"/>
        <v>33.84375</v>
      </c>
      <c r="H19" s="16">
        <f t="shared" si="29"/>
        <v>38.356249999999996</v>
      </c>
      <c r="I19" s="14"/>
      <c r="J19" s="14"/>
      <c r="K19" s="14">
        <f t="shared" si="23"/>
        <v>0.21694711538461539</v>
      </c>
      <c r="L19" s="14">
        <f t="shared" si="24"/>
        <v>0.39050480769230766</v>
      </c>
      <c r="M19" s="14">
        <f t="shared" si="25"/>
        <v>0.56406249999999991</v>
      </c>
      <c r="N19" s="14">
        <f t="shared" si="26"/>
        <v>0.47728365384615379</v>
      </c>
      <c r="O19" s="14">
        <f t="shared" si="27"/>
        <v>0.65084134615384615</v>
      </c>
      <c r="P19" s="14">
        <f t="shared" si="28"/>
        <v>0.65084134615384615</v>
      </c>
      <c r="Q19" s="14">
        <f t="shared" si="28"/>
        <v>0.73762019230769227</v>
      </c>
      <c r="R19" s="14"/>
    </row>
    <row r="20" spans="1:18" x14ac:dyDescent="0.4">
      <c r="A20" s="2">
        <v>56</v>
      </c>
      <c r="B20" s="16">
        <f t="shared" ref="B20:H20" si="30">B6/2</f>
        <v>11.875</v>
      </c>
      <c r="C20" s="16">
        <f t="shared" si="30"/>
        <v>16.625</v>
      </c>
      <c r="D20" s="16">
        <f t="shared" si="30"/>
        <v>21.375</v>
      </c>
      <c r="E20" s="16">
        <f t="shared" si="30"/>
        <v>26.125</v>
      </c>
      <c r="F20" s="16">
        <f t="shared" si="30"/>
        <v>30.875</v>
      </c>
      <c r="G20" s="16">
        <f t="shared" si="30"/>
        <v>35.625</v>
      </c>
      <c r="H20" s="16">
        <f t="shared" si="30"/>
        <v>40.375</v>
      </c>
      <c r="I20" s="14"/>
      <c r="J20" s="14"/>
      <c r="K20" s="14">
        <f t="shared" si="23"/>
        <v>0.21205357142857142</v>
      </c>
      <c r="L20" s="14">
        <f t="shared" si="24"/>
        <v>0.38169642857142855</v>
      </c>
      <c r="M20" s="14">
        <f t="shared" si="25"/>
        <v>0.5513392857142857</v>
      </c>
      <c r="N20" s="14">
        <f t="shared" si="26"/>
        <v>0.46651785714285715</v>
      </c>
      <c r="O20" s="14">
        <f t="shared" si="27"/>
        <v>0.6361607142857143</v>
      </c>
      <c r="P20" s="14">
        <f t="shared" si="28"/>
        <v>0.6361607142857143</v>
      </c>
      <c r="Q20" s="14">
        <f t="shared" si="28"/>
        <v>0.7209821428571429</v>
      </c>
      <c r="R20" s="14"/>
    </row>
    <row r="21" spans="1:18" x14ac:dyDescent="0.4">
      <c r="A21" s="2">
        <v>60</v>
      </c>
      <c r="B21" s="16">
        <f t="shared" ref="B21:H21" si="31">B7/2</f>
        <v>12.5</v>
      </c>
      <c r="C21" s="16">
        <f t="shared" si="31"/>
        <v>17.5</v>
      </c>
      <c r="D21" s="16">
        <f t="shared" si="31"/>
        <v>22.5</v>
      </c>
      <c r="E21" s="16">
        <f t="shared" si="31"/>
        <v>27.5</v>
      </c>
      <c r="F21" s="16">
        <f t="shared" si="31"/>
        <v>32.5</v>
      </c>
      <c r="G21" s="16">
        <f t="shared" si="31"/>
        <v>37.5</v>
      </c>
      <c r="H21" s="16">
        <f t="shared" si="31"/>
        <v>42.5</v>
      </c>
      <c r="I21" s="14"/>
      <c r="J21" s="14"/>
      <c r="K21" s="14">
        <f t="shared" si="23"/>
        <v>0.20833333333333334</v>
      </c>
      <c r="L21" s="14">
        <f t="shared" si="24"/>
        <v>0.375</v>
      </c>
      <c r="M21" s="14">
        <f t="shared" si="25"/>
        <v>0.54166666666666663</v>
      </c>
      <c r="N21" s="14">
        <f t="shared" si="26"/>
        <v>0.45833333333333331</v>
      </c>
      <c r="O21" s="14">
        <f t="shared" si="27"/>
        <v>0.625</v>
      </c>
      <c r="P21" s="14">
        <f t="shared" si="28"/>
        <v>0.625</v>
      </c>
      <c r="Q21" s="14">
        <f t="shared" si="28"/>
        <v>0.70833333333333337</v>
      </c>
      <c r="R21" s="14"/>
    </row>
    <row r="22" spans="1:18" x14ac:dyDescent="0.4">
      <c r="A22" s="2">
        <v>67</v>
      </c>
      <c r="B22" s="16">
        <f t="shared" ref="B22:H22" si="32">B8/2</f>
        <v>13.125</v>
      </c>
      <c r="C22" s="16">
        <f t="shared" si="32"/>
        <v>18.375</v>
      </c>
      <c r="D22" s="16">
        <f t="shared" si="32"/>
        <v>23.625</v>
      </c>
      <c r="E22" s="16">
        <f t="shared" si="32"/>
        <v>28.875</v>
      </c>
      <c r="F22" s="16">
        <f t="shared" si="32"/>
        <v>34.125</v>
      </c>
      <c r="G22" s="16">
        <f t="shared" si="32"/>
        <v>39.375</v>
      </c>
      <c r="H22" s="16">
        <f t="shared" si="32"/>
        <v>44.625</v>
      </c>
      <c r="I22" s="14"/>
      <c r="J22" s="14"/>
      <c r="K22" s="14">
        <f t="shared" si="23"/>
        <v>0.19589552238805971</v>
      </c>
      <c r="L22" s="14">
        <f t="shared" si="24"/>
        <v>0.35261194029850745</v>
      </c>
      <c r="M22" s="14">
        <f t="shared" si="25"/>
        <v>0.50932835820895528</v>
      </c>
      <c r="N22" s="14">
        <f t="shared" si="26"/>
        <v>0.43097014925373134</v>
      </c>
      <c r="O22" s="14">
        <f t="shared" si="27"/>
        <v>0.58768656716417911</v>
      </c>
      <c r="P22" s="14">
        <f t="shared" si="28"/>
        <v>0.58768656716417911</v>
      </c>
      <c r="Q22" s="14">
        <f t="shared" si="28"/>
        <v>0.66604477611940294</v>
      </c>
      <c r="R22" s="14"/>
    </row>
    <row r="23" spans="1:18" x14ac:dyDescent="0.4">
      <c r="A23" s="2">
        <v>75</v>
      </c>
      <c r="B23" s="16">
        <f t="shared" ref="B23:H23" si="33">B9/2</f>
        <v>13.78125</v>
      </c>
      <c r="C23" s="16">
        <f t="shared" si="33"/>
        <v>19.293749999999999</v>
      </c>
      <c r="D23" s="16">
        <f t="shared" si="33"/>
        <v>24.806250000000002</v>
      </c>
      <c r="E23" s="16">
        <f t="shared" si="33"/>
        <v>30.318750000000001</v>
      </c>
      <c r="F23" s="16">
        <f t="shared" si="33"/>
        <v>35.831250000000004</v>
      </c>
      <c r="G23" s="16">
        <f t="shared" si="33"/>
        <v>41.34375</v>
      </c>
      <c r="H23" s="16">
        <f t="shared" si="33"/>
        <v>46.856250000000003</v>
      </c>
      <c r="I23" s="14"/>
      <c r="J23" s="14"/>
      <c r="K23" s="14">
        <f t="shared" si="23"/>
        <v>0.18375</v>
      </c>
      <c r="L23" s="14">
        <f t="shared" si="24"/>
        <v>0.33075000000000004</v>
      </c>
      <c r="M23" s="14">
        <f t="shared" si="25"/>
        <v>0.47775000000000006</v>
      </c>
      <c r="N23" s="14">
        <f t="shared" si="26"/>
        <v>0.40425</v>
      </c>
      <c r="O23" s="14">
        <f t="shared" si="27"/>
        <v>0.55125000000000002</v>
      </c>
      <c r="P23" s="14">
        <f t="shared" si="28"/>
        <v>0.55125000000000002</v>
      </c>
      <c r="Q23" s="14">
        <f t="shared" si="28"/>
        <v>0.62475000000000003</v>
      </c>
      <c r="R23" s="14"/>
    </row>
    <row r="24" spans="1:18" x14ac:dyDescent="0.4">
      <c r="A24" s="2">
        <v>82</v>
      </c>
      <c r="B24" s="16">
        <f t="shared" ref="B24:H24" si="34">B10/2</f>
        <v>14.4703125</v>
      </c>
      <c r="C24" s="16">
        <f t="shared" si="34"/>
        <v>20.258437499999999</v>
      </c>
      <c r="D24" s="16">
        <f t="shared" si="34"/>
        <v>26.046562500000004</v>
      </c>
      <c r="E24" s="16">
        <f t="shared" si="34"/>
        <v>31.834687500000001</v>
      </c>
      <c r="F24" s="16">
        <f t="shared" si="34"/>
        <v>37.622812500000009</v>
      </c>
      <c r="G24" s="16">
        <f t="shared" si="34"/>
        <v>43.410937500000003</v>
      </c>
      <c r="H24" s="16">
        <f t="shared" si="34"/>
        <v>49.199062500000004</v>
      </c>
      <c r="I24" s="14"/>
      <c r="J24" s="14"/>
      <c r="K24" s="14">
        <f t="shared" si="23"/>
        <v>0.17646722560975611</v>
      </c>
      <c r="L24" s="14">
        <f t="shared" si="24"/>
        <v>0.31764100609756102</v>
      </c>
      <c r="M24" s="14">
        <f t="shared" si="25"/>
        <v>0.45881478658536595</v>
      </c>
      <c r="N24" s="14">
        <f t="shared" si="26"/>
        <v>0.38822789634146343</v>
      </c>
      <c r="O24" s="14">
        <f t="shared" si="27"/>
        <v>0.52940167682926831</v>
      </c>
      <c r="P24" s="14">
        <f t="shared" si="28"/>
        <v>0.52940167682926831</v>
      </c>
      <c r="Q24" s="14">
        <f t="shared" si="28"/>
        <v>0.59998856707317083</v>
      </c>
      <c r="R24" s="14"/>
    </row>
    <row r="25" spans="1:18" x14ac:dyDescent="0.4">
      <c r="A25" s="2">
        <v>90</v>
      </c>
      <c r="B25" s="16">
        <f t="shared" ref="B25:H25" si="35">B11/2</f>
        <v>15.193828125000001</v>
      </c>
      <c r="C25" s="16">
        <f t="shared" si="35"/>
        <v>21.271359374999999</v>
      </c>
      <c r="D25" s="16">
        <f t="shared" si="35"/>
        <v>27.348890625000006</v>
      </c>
      <c r="E25" s="16">
        <f t="shared" si="35"/>
        <v>33.426421875000003</v>
      </c>
      <c r="F25" s="16">
        <f t="shared" si="35"/>
        <v>39.50395312500001</v>
      </c>
      <c r="G25" s="16">
        <f t="shared" si="35"/>
        <v>45.581484375000002</v>
      </c>
      <c r="H25" s="16">
        <f t="shared" si="35"/>
        <v>51.659015625000009</v>
      </c>
      <c r="I25" s="14"/>
      <c r="J25" s="14"/>
      <c r="K25" s="14">
        <f t="shared" si="23"/>
        <v>0.16882031250000001</v>
      </c>
      <c r="L25" s="14">
        <f t="shared" si="24"/>
        <v>0.30387656250000006</v>
      </c>
      <c r="M25" s="14">
        <f t="shared" si="25"/>
        <v>0.4389328125000001</v>
      </c>
      <c r="N25" s="14">
        <f t="shared" si="26"/>
        <v>0.37140468750000005</v>
      </c>
      <c r="O25" s="14">
        <f t="shared" si="27"/>
        <v>0.50646093749999999</v>
      </c>
      <c r="P25" s="14">
        <f t="shared" si="28"/>
        <v>0.50646093749999999</v>
      </c>
      <c r="Q25" s="14">
        <f t="shared" si="28"/>
        <v>0.57398906250000015</v>
      </c>
      <c r="R25" s="14"/>
    </row>
    <row r="26" spans="1:18" x14ac:dyDescent="0.4">
      <c r="A26" s="4"/>
      <c r="B26" s="16"/>
      <c r="C26" s="16"/>
      <c r="D26" s="16"/>
      <c r="E26" s="16"/>
      <c r="F26" s="16"/>
      <c r="G26" s="16"/>
      <c r="H26" s="16"/>
      <c r="I26" s="5"/>
      <c r="J26" s="14"/>
      <c r="K26" s="14"/>
      <c r="L26" s="14"/>
      <c r="M26" s="14"/>
      <c r="N26" s="14"/>
      <c r="O26" s="14"/>
      <c r="P26" s="14"/>
      <c r="Q26" s="14"/>
      <c r="R26" s="14"/>
    </row>
    <row r="27" spans="1:18" x14ac:dyDescent="0.4">
      <c r="A27" s="4"/>
      <c r="B27" s="16"/>
      <c r="C27" s="16"/>
      <c r="D27" s="16"/>
      <c r="E27" s="16"/>
      <c r="F27" s="16"/>
      <c r="G27" s="16"/>
      <c r="H27" s="16"/>
      <c r="I27" s="5"/>
      <c r="J27" s="14"/>
      <c r="K27" s="14"/>
      <c r="L27" s="14"/>
      <c r="M27" s="14"/>
      <c r="N27" s="14"/>
      <c r="O27" s="14"/>
      <c r="P27" s="14"/>
      <c r="Q27" s="14"/>
      <c r="R27" s="14"/>
    </row>
    <row r="28" spans="1:18" x14ac:dyDescent="0.4">
      <c r="A28" s="5"/>
      <c r="B28" s="5"/>
      <c r="C28" s="5"/>
      <c r="D28" s="5"/>
      <c r="E28" s="5"/>
      <c r="F28" s="5"/>
      <c r="G28" s="5"/>
      <c r="H28" s="5"/>
      <c r="I28" s="14"/>
      <c r="J28" s="14"/>
      <c r="K28" s="14"/>
      <c r="L28" s="14"/>
      <c r="M28" s="14"/>
      <c r="N28" s="14"/>
      <c r="O28" s="14"/>
      <c r="P28" s="14"/>
      <c r="Q28" s="14"/>
      <c r="R28" s="14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zoomScale="94" zoomScaleNormal="94" workbookViewId="0">
      <selection activeCell="J15" sqref="J15"/>
    </sheetView>
  </sheetViews>
  <sheetFormatPr defaultRowHeight="17.399999999999999" x14ac:dyDescent="0.4"/>
  <sheetData>
    <row r="1" spans="1:18" ht="25.2" x14ac:dyDescent="0.4">
      <c r="A1" s="25" t="s">
        <v>61</v>
      </c>
      <c r="B1" s="26"/>
      <c r="C1" s="26"/>
      <c r="D1" s="26"/>
      <c r="E1" s="26"/>
      <c r="F1" s="26"/>
      <c r="G1" s="26"/>
      <c r="H1" s="26"/>
      <c r="I1" s="14"/>
      <c r="J1" s="14"/>
      <c r="K1" s="25" t="s">
        <v>62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I2" s="14"/>
      <c r="J2" s="14"/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  <c r="R2" s="14"/>
    </row>
    <row r="3" spans="1:18" x14ac:dyDescent="0.4">
      <c r="A3" s="3">
        <v>55</v>
      </c>
      <c r="B3" s="16">
        <f t="shared" ref="B3:H6" si="0">B4*0.95</f>
        <v>11.403087499999998</v>
      </c>
      <c r="C3" s="16">
        <f t="shared" si="0"/>
        <v>14.661112499999996</v>
      </c>
      <c r="D3" s="16">
        <f t="shared" si="0"/>
        <v>19.548149999999993</v>
      </c>
      <c r="E3" s="16">
        <f t="shared" si="0"/>
        <v>23.620681249999997</v>
      </c>
      <c r="F3" s="16">
        <f t="shared" si="0"/>
        <v>27.693212499999994</v>
      </c>
      <c r="G3" s="16">
        <f t="shared" si="0"/>
        <v>30.951237499999998</v>
      </c>
      <c r="H3" s="16">
        <f t="shared" si="0"/>
        <v>35.023768749999995</v>
      </c>
      <c r="I3" s="14"/>
      <c r="J3" s="14"/>
      <c r="K3" s="14">
        <f t="shared" ref="K3:Q13" si="1">B3/$A3</f>
        <v>0.2073288636363636</v>
      </c>
      <c r="L3" s="14">
        <f t="shared" si="1"/>
        <v>0.26656568181818174</v>
      </c>
      <c r="M3" s="14">
        <f t="shared" si="1"/>
        <v>0.35542090909090895</v>
      </c>
      <c r="N3" s="14">
        <f t="shared" si="1"/>
        <v>0.42946693181818174</v>
      </c>
      <c r="O3" s="14">
        <f t="shared" si="1"/>
        <v>0.50351295454545442</v>
      </c>
      <c r="P3" s="14">
        <f t="shared" si="1"/>
        <v>0.56274977272727267</v>
      </c>
      <c r="Q3" s="14">
        <f t="shared" si="1"/>
        <v>0.63679579545454534</v>
      </c>
      <c r="R3" s="14"/>
    </row>
    <row r="4" spans="1:18" x14ac:dyDescent="0.4">
      <c r="A4" s="3">
        <v>60</v>
      </c>
      <c r="B4" s="16">
        <f t="shared" si="0"/>
        <v>12.003249999999998</v>
      </c>
      <c r="C4" s="16">
        <f t="shared" si="0"/>
        <v>15.432749999999997</v>
      </c>
      <c r="D4" s="16">
        <f t="shared" si="0"/>
        <v>20.576999999999995</v>
      </c>
      <c r="E4" s="16">
        <f t="shared" si="0"/>
        <v>24.863874999999997</v>
      </c>
      <c r="F4" s="16">
        <f t="shared" si="0"/>
        <v>29.150749999999995</v>
      </c>
      <c r="G4" s="16">
        <f t="shared" si="0"/>
        <v>32.580249999999999</v>
      </c>
      <c r="H4" s="16">
        <f t="shared" si="0"/>
        <v>36.867124999999994</v>
      </c>
      <c r="I4" s="14"/>
      <c r="J4" s="14"/>
      <c r="K4" s="14">
        <f t="shared" si="1"/>
        <v>0.20005416666666662</v>
      </c>
      <c r="L4" s="14">
        <f t="shared" si="1"/>
        <v>0.25721249999999996</v>
      </c>
      <c r="M4" s="14">
        <f t="shared" si="1"/>
        <v>0.34294999999999992</v>
      </c>
      <c r="N4" s="14">
        <f t="shared" si="1"/>
        <v>0.41439791666666659</v>
      </c>
      <c r="O4" s="14">
        <f t="shared" si="1"/>
        <v>0.48584583333333325</v>
      </c>
      <c r="P4" s="14">
        <f t="shared" si="1"/>
        <v>0.54300416666666662</v>
      </c>
      <c r="Q4" s="14">
        <f t="shared" si="1"/>
        <v>0.61445208333333323</v>
      </c>
      <c r="R4" s="14"/>
    </row>
    <row r="5" spans="1:18" x14ac:dyDescent="0.4">
      <c r="A5" s="3">
        <v>65</v>
      </c>
      <c r="B5" s="16">
        <f t="shared" si="0"/>
        <v>12.634999999999998</v>
      </c>
      <c r="C5" s="16">
        <f t="shared" si="0"/>
        <v>16.244999999999997</v>
      </c>
      <c r="D5" s="16">
        <f t="shared" si="0"/>
        <v>21.659999999999997</v>
      </c>
      <c r="E5" s="16">
        <f t="shared" si="0"/>
        <v>26.172499999999996</v>
      </c>
      <c r="F5" s="16">
        <f t="shared" si="0"/>
        <v>30.684999999999995</v>
      </c>
      <c r="G5" s="16">
        <f t="shared" si="0"/>
        <v>34.295000000000002</v>
      </c>
      <c r="H5" s="16">
        <f t="shared" si="0"/>
        <v>38.807499999999997</v>
      </c>
      <c r="I5" s="14"/>
      <c r="J5" s="14"/>
      <c r="K5" s="14">
        <f t="shared" si="1"/>
        <v>0.19438461538461535</v>
      </c>
      <c r="L5" s="14">
        <f t="shared" si="1"/>
        <v>0.24992307692307689</v>
      </c>
      <c r="M5" s="14">
        <f t="shared" si="1"/>
        <v>0.33323076923076916</v>
      </c>
      <c r="N5" s="14">
        <f t="shared" si="1"/>
        <v>0.40265384615384608</v>
      </c>
      <c r="O5" s="14">
        <f t="shared" si="1"/>
        <v>0.47207692307692301</v>
      </c>
      <c r="P5" s="14">
        <f t="shared" si="1"/>
        <v>0.5276153846153846</v>
      </c>
      <c r="Q5" s="14">
        <f t="shared" si="1"/>
        <v>0.59703846153846152</v>
      </c>
      <c r="R5" s="14"/>
    </row>
    <row r="6" spans="1:18" x14ac:dyDescent="0.4">
      <c r="A6" s="3">
        <v>70</v>
      </c>
      <c r="B6" s="22">
        <f>B7*0.95</f>
        <v>13.299999999999999</v>
      </c>
      <c r="C6" s="22">
        <f t="shared" si="0"/>
        <v>17.099999999999998</v>
      </c>
      <c r="D6" s="22">
        <f t="shared" si="0"/>
        <v>22.799999999999997</v>
      </c>
      <c r="E6" s="23">
        <f t="shared" si="0"/>
        <v>27.549999999999997</v>
      </c>
      <c r="F6" s="22">
        <f t="shared" si="0"/>
        <v>32.299999999999997</v>
      </c>
      <c r="G6" s="22">
        <f t="shared" si="0"/>
        <v>36.1</v>
      </c>
      <c r="H6" s="22">
        <f t="shared" si="0"/>
        <v>40.85</v>
      </c>
      <c r="I6" s="14"/>
      <c r="J6" s="14"/>
      <c r="K6" s="14">
        <f t="shared" si="1"/>
        <v>0.18999999999999997</v>
      </c>
      <c r="L6" s="14">
        <f t="shared" si="1"/>
        <v>0.24428571428571424</v>
      </c>
      <c r="M6" s="14">
        <f t="shared" si="1"/>
        <v>0.32571428571428568</v>
      </c>
      <c r="N6" s="14">
        <f t="shared" si="1"/>
        <v>0.39357142857142852</v>
      </c>
      <c r="O6" s="14">
        <f t="shared" si="1"/>
        <v>0.46142857142857141</v>
      </c>
      <c r="P6" s="14">
        <f t="shared" si="1"/>
        <v>0.51571428571428568</v>
      </c>
      <c r="Q6" s="14">
        <f t="shared" si="1"/>
        <v>0.58357142857142863</v>
      </c>
      <c r="R6" s="14"/>
    </row>
    <row r="7" spans="1:18" x14ac:dyDescent="0.4">
      <c r="A7" s="3">
        <v>75</v>
      </c>
      <c r="B7" s="18">
        <v>14</v>
      </c>
      <c r="C7" s="16">
        <v>18</v>
      </c>
      <c r="D7" s="18">
        <v>24</v>
      </c>
      <c r="E7" s="16">
        <v>29</v>
      </c>
      <c r="F7" s="16">
        <v>34</v>
      </c>
      <c r="G7" s="16">
        <v>38</v>
      </c>
      <c r="H7" s="16">
        <v>43</v>
      </c>
      <c r="I7" s="14"/>
      <c r="J7" s="14"/>
      <c r="K7" s="14">
        <f t="shared" si="1"/>
        <v>0.18666666666666668</v>
      </c>
      <c r="L7" s="14">
        <f t="shared" si="1"/>
        <v>0.24</v>
      </c>
      <c r="M7" s="14">
        <f t="shared" si="1"/>
        <v>0.32</v>
      </c>
      <c r="N7" s="14">
        <f t="shared" si="1"/>
        <v>0.38666666666666666</v>
      </c>
      <c r="O7" s="14">
        <f t="shared" si="1"/>
        <v>0.45333333333333331</v>
      </c>
      <c r="P7" s="14">
        <f t="shared" si="1"/>
        <v>0.50666666666666671</v>
      </c>
      <c r="Q7" s="14">
        <f t="shared" si="1"/>
        <v>0.57333333333333336</v>
      </c>
      <c r="R7" s="14"/>
    </row>
    <row r="8" spans="1:18" x14ac:dyDescent="0.4">
      <c r="A8" s="3">
        <v>82</v>
      </c>
      <c r="B8" s="16">
        <f>B7*1.05</f>
        <v>14.700000000000001</v>
      </c>
      <c r="C8" s="16">
        <f t="shared" ref="C8:H13" si="2">C7*1.05</f>
        <v>18.900000000000002</v>
      </c>
      <c r="D8" s="16">
        <f t="shared" si="2"/>
        <v>25.200000000000003</v>
      </c>
      <c r="E8" s="16">
        <f t="shared" si="2"/>
        <v>30.450000000000003</v>
      </c>
      <c r="F8" s="16">
        <f t="shared" si="2"/>
        <v>35.700000000000003</v>
      </c>
      <c r="G8" s="16">
        <f t="shared" si="2"/>
        <v>39.9</v>
      </c>
      <c r="H8" s="16">
        <f t="shared" si="2"/>
        <v>45.15</v>
      </c>
      <c r="I8" s="14"/>
      <c r="J8" s="14"/>
      <c r="K8" s="14">
        <f t="shared" si="1"/>
        <v>0.17926829268292685</v>
      </c>
      <c r="L8" s="14">
        <f t="shared" si="1"/>
        <v>0.23048780487804882</v>
      </c>
      <c r="M8" s="14">
        <f t="shared" si="1"/>
        <v>0.30731707317073176</v>
      </c>
      <c r="N8" s="14">
        <f t="shared" si="1"/>
        <v>0.3713414634146342</v>
      </c>
      <c r="O8" s="14">
        <f t="shared" si="1"/>
        <v>0.43536585365853664</v>
      </c>
      <c r="P8" s="14">
        <f t="shared" si="1"/>
        <v>0.48658536585365852</v>
      </c>
      <c r="Q8" s="14">
        <f t="shared" si="1"/>
        <v>0.55060975609756091</v>
      </c>
      <c r="R8" s="14"/>
    </row>
    <row r="9" spans="1:18" x14ac:dyDescent="0.4">
      <c r="A9" s="3">
        <v>90</v>
      </c>
      <c r="B9" s="16">
        <f t="shared" ref="B9:B13" si="3">B8*1.05</f>
        <v>15.435000000000002</v>
      </c>
      <c r="C9" s="16">
        <f t="shared" si="2"/>
        <v>19.845000000000002</v>
      </c>
      <c r="D9" s="16">
        <f t="shared" si="2"/>
        <v>26.460000000000004</v>
      </c>
      <c r="E9" s="16">
        <f t="shared" si="2"/>
        <v>31.972500000000004</v>
      </c>
      <c r="F9" s="16">
        <f t="shared" si="2"/>
        <v>37.485000000000007</v>
      </c>
      <c r="G9" s="16">
        <f t="shared" si="2"/>
        <v>41.895000000000003</v>
      </c>
      <c r="H9" s="16">
        <f t="shared" si="2"/>
        <v>47.407499999999999</v>
      </c>
      <c r="I9" s="14"/>
      <c r="J9" s="14"/>
      <c r="K9" s="14">
        <f t="shared" si="1"/>
        <v>0.17150000000000001</v>
      </c>
      <c r="L9" s="14">
        <f t="shared" si="1"/>
        <v>0.22050000000000003</v>
      </c>
      <c r="M9" s="14">
        <f t="shared" si="1"/>
        <v>0.29400000000000004</v>
      </c>
      <c r="N9" s="14">
        <f t="shared" si="1"/>
        <v>0.35525000000000007</v>
      </c>
      <c r="O9" s="14">
        <f t="shared" si="1"/>
        <v>0.41650000000000009</v>
      </c>
      <c r="P9" s="14">
        <f t="shared" si="1"/>
        <v>0.46550000000000002</v>
      </c>
      <c r="Q9" s="14">
        <f t="shared" si="1"/>
        <v>0.52674999999999994</v>
      </c>
      <c r="R9" s="14"/>
    </row>
    <row r="10" spans="1:18" x14ac:dyDescent="0.4">
      <c r="A10" s="3">
        <v>100</v>
      </c>
      <c r="B10" s="16">
        <f t="shared" si="3"/>
        <v>16.206750000000003</v>
      </c>
      <c r="C10" s="16">
        <f t="shared" si="2"/>
        <v>20.837250000000004</v>
      </c>
      <c r="D10" s="16">
        <f t="shared" si="2"/>
        <v>27.783000000000005</v>
      </c>
      <c r="E10" s="16">
        <f t="shared" si="2"/>
        <v>33.571125000000002</v>
      </c>
      <c r="F10" s="16">
        <f t="shared" si="2"/>
        <v>39.35925000000001</v>
      </c>
      <c r="G10" s="16">
        <f t="shared" si="2"/>
        <v>43.989750000000008</v>
      </c>
      <c r="H10" s="16">
        <f t="shared" si="2"/>
        <v>49.777875000000002</v>
      </c>
      <c r="I10" s="14"/>
      <c r="J10" s="14"/>
      <c r="K10" s="14">
        <f t="shared" si="1"/>
        <v>0.16206750000000003</v>
      </c>
      <c r="L10" s="14">
        <f t="shared" si="1"/>
        <v>0.20837250000000004</v>
      </c>
      <c r="M10" s="14">
        <f t="shared" si="1"/>
        <v>0.27783000000000002</v>
      </c>
      <c r="N10" s="14">
        <f t="shared" si="1"/>
        <v>0.33571125000000002</v>
      </c>
      <c r="O10" s="14">
        <f t="shared" si="1"/>
        <v>0.39359250000000012</v>
      </c>
      <c r="P10" s="14">
        <f t="shared" si="1"/>
        <v>0.43989750000000005</v>
      </c>
      <c r="Q10" s="14">
        <f t="shared" si="1"/>
        <v>0.49777874999999999</v>
      </c>
      <c r="R10" s="14"/>
    </row>
    <row r="11" spans="1:18" x14ac:dyDescent="0.4">
      <c r="A11" s="3">
        <v>110</v>
      </c>
      <c r="B11" s="16">
        <f t="shared" si="3"/>
        <v>17.017087500000002</v>
      </c>
      <c r="C11" s="16">
        <f t="shared" si="2"/>
        <v>21.879112500000005</v>
      </c>
      <c r="D11" s="16">
        <f t="shared" si="2"/>
        <v>29.172150000000006</v>
      </c>
      <c r="E11" s="16">
        <f t="shared" si="2"/>
        <v>35.249681250000002</v>
      </c>
      <c r="F11" s="16">
        <f t="shared" si="2"/>
        <v>41.327212500000009</v>
      </c>
      <c r="G11" s="16">
        <f t="shared" si="2"/>
        <v>46.189237500000011</v>
      </c>
      <c r="H11" s="16">
        <f t="shared" si="2"/>
        <v>52.266768750000004</v>
      </c>
      <c r="I11" s="14"/>
      <c r="J11" s="14"/>
      <c r="K11" s="14">
        <f t="shared" si="1"/>
        <v>0.15470079545454549</v>
      </c>
      <c r="L11" s="14">
        <f t="shared" si="1"/>
        <v>0.19890102272727278</v>
      </c>
      <c r="M11" s="14">
        <f t="shared" si="1"/>
        <v>0.26520136363636371</v>
      </c>
      <c r="N11" s="14">
        <f t="shared" si="1"/>
        <v>0.32045164772727275</v>
      </c>
      <c r="O11" s="14">
        <f t="shared" si="1"/>
        <v>0.3757019318181819</v>
      </c>
      <c r="P11" s="14">
        <f t="shared" si="1"/>
        <v>0.41990215909090922</v>
      </c>
      <c r="Q11" s="14">
        <f t="shared" si="1"/>
        <v>0.47515244318181821</v>
      </c>
      <c r="R11" s="14"/>
    </row>
    <row r="12" spans="1:18" x14ac:dyDescent="0.4">
      <c r="A12" s="3">
        <v>120</v>
      </c>
      <c r="B12" s="16">
        <f t="shared" si="3"/>
        <v>17.867941875000003</v>
      </c>
      <c r="C12" s="16">
        <f t="shared" si="2"/>
        <v>22.973068125000005</v>
      </c>
      <c r="D12" s="16">
        <f t="shared" si="2"/>
        <v>30.630757500000009</v>
      </c>
      <c r="E12" s="16">
        <f t="shared" si="2"/>
        <v>37.012165312500002</v>
      </c>
      <c r="F12" s="16">
        <f t="shared" si="2"/>
        <v>43.39357312500001</v>
      </c>
      <c r="G12" s="16">
        <f t="shared" si="2"/>
        <v>48.498699375000015</v>
      </c>
      <c r="H12" s="16">
        <f t="shared" si="2"/>
        <v>54.880107187500009</v>
      </c>
      <c r="I12" s="14"/>
      <c r="J12" s="14"/>
      <c r="K12" s="14">
        <f t="shared" si="1"/>
        <v>0.14889951562500003</v>
      </c>
      <c r="L12" s="14">
        <f t="shared" si="1"/>
        <v>0.19144223437500005</v>
      </c>
      <c r="M12" s="14">
        <f t="shared" si="1"/>
        <v>0.25525631250000008</v>
      </c>
      <c r="N12" s="14">
        <f t="shared" si="1"/>
        <v>0.30843471093750002</v>
      </c>
      <c r="O12" s="14">
        <f t="shared" si="1"/>
        <v>0.36161310937500007</v>
      </c>
      <c r="P12" s="14">
        <f t="shared" si="1"/>
        <v>0.40415582812500012</v>
      </c>
      <c r="Q12" s="14">
        <f t="shared" si="1"/>
        <v>0.45733422656250006</v>
      </c>
      <c r="R12" s="14"/>
    </row>
    <row r="13" spans="1:18" x14ac:dyDescent="0.4">
      <c r="A13" s="3">
        <v>130</v>
      </c>
      <c r="B13" s="16">
        <f t="shared" si="3"/>
        <v>18.761338968750003</v>
      </c>
      <c r="C13" s="16">
        <f t="shared" si="2"/>
        <v>24.121721531250007</v>
      </c>
      <c r="D13" s="16">
        <f t="shared" si="2"/>
        <v>32.162295375000014</v>
      </c>
      <c r="E13" s="16">
        <f t="shared" si="2"/>
        <v>38.862773578125001</v>
      </c>
      <c r="F13" s="16">
        <f t="shared" si="2"/>
        <v>45.56325178125001</v>
      </c>
      <c r="G13" s="16">
        <f t="shared" si="2"/>
        <v>50.923634343750017</v>
      </c>
      <c r="H13" s="16">
        <f t="shared" si="2"/>
        <v>57.624112546875011</v>
      </c>
      <c r="I13" s="14"/>
      <c r="J13" s="14"/>
      <c r="K13" s="14">
        <f t="shared" si="1"/>
        <v>0.14431799206730772</v>
      </c>
      <c r="L13" s="14">
        <f t="shared" si="1"/>
        <v>0.18555170408653851</v>
      </c>
      <c r="M13" s="14">
        <f t="shared" si="1"/>
        <v>0.24740227211538471</v>
      </c>
      <c r="N13" s="14">
        <f t="shared" si="1"/>
        <v>0.29894441213942308</v>
      </c>
      <c r="O13" s="14">
        <f t="shared" si="1"/>
        <v>0.35048655216346164</v>
      </c>
      <c r="P13" s="14">
        <f t="shared" si="1"/>
        <v>0.39172026418269246</v>
      </c>
      <c r="Q13" s="14">
        <f t="shared" si="1"/>
        <v>0.44326240420673085</v>
      </c>
      <c r="R13" s="14"/>
    </row>
    <row r="14" spans="1:18" x14ac:dyDescent="0.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27.6" x14ac:dyDescent="0.4">
      <c r="A15" s="25" t="s">
        <v>63</v>
      </c>
      <c r="B15" s="26"/>
      <c r="C15" s="26"/>
      <c r="D15" s="26"/>
      <c r="E15" s="26"/>
      <c r="F15" s="26"/>
      <c r="G15" s="26"/>
      <c r="H15" s="26"/>
      <c r="I15" s="14"/>
      <c r="J15" s="14"/>
      <c r="K15" s="27" t="s">
        <v>64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I16" s="14"/>
      <c r="J16" s="14"/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  <c r="R16" s="14"/>
    </row>
    <row r="17" spans="1:18" x14ac:dyDescent="0.4">
      <c r="A17" s="2">
        <v>44</v>
      </c>
      <c r="B17" s="16">
        <f>B3/2</f>
        <v>5.701543749999999</v>
      </c>
      <c r="C17" s="16">
        <f>C3/2</f>
        <v>7.3305562499999981</v>
      </c>
      <c r="D17" s="16">
        <f>D3/2</f>
        <v>9.7740749999999963</v>
      </c>
      <c r="E17" s="16">
        <f>E3/2</f>
        <v>11.810340624999998</v>
      </c>
      <c r="F17" s="16">
        <f>F3/2</f>
        <v>13.846606249999997</v>
      </c>
      <c r="G17" s="16">
        <f>G3/2</f>
        <v>15.475618749999999</v>
      </c>
      <c r="H17" s="16">
        <f>H3/2</f>
        <v>17.511884374999998</v>
      </c>
      <c r="I17" s="14"/>
      <c r="J17" s="14"/>
      <c r="K17" s="14">
        <f>B17/$A17</f>
        <v>0.12958053977272724</v>
      </c>
      <c r="L17" s="14">
        <f>D17/$A17</f>
        <v>0.22213806818181811</v>
      </c>
      <c r="M17" s="14">
        <f>F17/$A17</f>
        <v>0.31469559659090901</v>
      </c>
      <c r="N17" s="14">
        <f>E17/$A17</f>
        <v>0.2684168323863636</v>
      </c>
      <c r="O17" s="14">
        <f>G17/$A17</f>
        <v>0.3517186079545454</v>
      </c>
      <c r="P17" s="14">
        <f>G17/$A17</f>
        <v>0.3517186079545454</v>
      </c>
      <c r="Q17" s="14">
        <f>H17/$A17</f>
        <v>0.39799737215909087</v>
      </c>
      <c r="R17" s="14"/>
    </row>
    <row r="18" spans="1:18" x14ac:dyDescent="0.4">
      <c r="A18" s="2">
        <v>48</v>
      </c>
      <c r="B18" s="16">
        <f>B4/2</f>
        <v>6.0016249999999989</v>
      </c>
      <c r="C18" s="16">
        <f>C4/2</f>
        <v>7.7163749999999984</v>
      </c>
      <c r="D18" s="16">
        <f>D4/2</f>
        <v>10.288499999999997</v>
      </c>
      <c r="E18" s="16">
        <f>E4/2</f>
        <v>12.431937499999998</v>
      </c>
      <c r="F18" s="16">
        <f>F4/2</f>
        <v>14.575374999999998</v>
      </c>
      <c r="G18" s="16">
        <f>G4/2</f>
        <v>16.290125</v>
      </c>
      <c r="H18" s="16">
        <f>H4/2</f>
        <v>18.433562499999997</v>
      </c>
      <c r="I18" s="14"/>
      <c r="J18" s="14"/>
      <c r="K18" s="14">
        <f t="shared" ref="K18:K25" si="4">B18/$A18</f>
        <v>0.12503385416666665</v>
      </c>
      <c r="L18" s="14">
        <f t="shared" ref="L18:L25" si="5">D18/$A18</f>
        <v>0.21434374999999994</v>
      </c>
      <c r="M18" s="14">
        <f t="shared" ref="M18:M25" si="6">F18/$A18</f>
        <v>0.30365364583333326</v>
      </c>
      <c r="N18" s="14">
        <f t="shared" ref="N18:N25" si="7">E18/$A18</f>
        <v>0.25899869791666663</v>
      </c>
      <c r="O18" s="14">
        <f t="shared" ref="O18:O25" si="8">G18/$A18</f>
        <v>0.33937760416666668</v>
      </c>
      <c r="P18" s="14">
        <f t="shared" ref="P18:Q25" si="9">G18/$A18</f>
        <v>0.33937760416666668</v>
      </c>
      <c r="Q18" s="14">
        <f t="shared" si="9"/>
        <v>0.38403255208333326</v>
      </c>
      <c r="R18" s="14"/>
    </row>
    <row r="19" spans="1:18" x14ac:dyDescent="0.4">
      <c r="A19" s="2">
        <v>52</v>
      </c>
      <c r="B19" s="16">
        <f>B5/2</f>
        <v>6.317499999999999</v>
      </c>
      <c r="C19" s="16">
        <f>C5/2</f>
        <v>8.1224999999999987</v>
      </c>
      <c r="D19" s="16">
        <f>D5/2</f>
        <v>10.829999999999998</v>
      </c>
      <c r="E19" s="16">
        <f>E5/2</f>
        <v>13.086249999999998</v>
      </c>
      <c r="F19" s="16">
        <f>F5/2</f>
        <v>15.342499999999998</v>
      </c>
      <c r="G19" s="16">
        <f>G5/2</f>
        <v>17.147500000000001</v>
      </c>
      <c r="H19" s="16">
        <f>H5/2</f>
        <v>19.403749999999999</v>
      </c>
      <c r="I19" s="14"/>
      <c r="J19" s="14"/>
      <c r="K19" s="14">
        <f t="shared" si="4"/>
        <v>0.1214903846153846</v>
      </c>
      <c r="L19" s="14">
        <f t="shared" si="5"/>
        <v>0.20826923076923073</v>
      </c>
      <c r="M19" s="14">
        <f t="shared" si="6"/>
        <v>0.29504807692307689</v>
      </c>
      <c r="N19" s="14">
        <f t="shared" si="7"/>
        <v>0.25165865384615382</v>
      </c>
      <c r="O19" s="14">
        <f t="shared" si="8"/>
        <v>0.3297596153846154</v>
      </c>
      <c r="P19" s="14">
        <f t="shared" si="9"/>
        <v>0.3297596153846154</v>
      </c>
      <c r="Q19" s="14">
        <f t="shared" si="9"/>
        <v>0.37314903846153846</v>
      </c>
      <c r="R19" s="14"/>
    </row>
    <row r="20" spans="1:18" x14ac:dyDescent="0.4">
      <c r="A20" s="2">
        <v>56</v>
      </c>
      <c r="B20" s="16">
        <f>B6/2</f>
        <v>6.6499999999999995</v>
      </c>
      <c r="C20" s="16">
        <f>C6/2</f>
        <v>8.5499999999999989</v>
      </c>
      <c r="D20" s="16">
        <f>D6/2</f>
        <v>11.399999999999999</v>
      </c>
      <c r="E20" s="16">
        <f>E6/2</f>
        <v>13.774999999999999</v>
      </c>
      <c r="F20" s="16">
        <f>F6/2</f>
        <v>16.149999999999999</v>
      </c>
      <c r="G20" s="16">
        <f>G6/2</f>
        <v>18.05</v>
      </c>
      <c r="H20" s="16">
        <f>H6/2</f>
        <v>20.425000000000001</v>
      </c>
      <c r="I20" s="14"/>
      <c r="J20" s="14"/>
      <c r="K20" s="14">
        <f t="shared" si="4"/>
        <v>0.11874999999999999</v>
      </c>
      <c r="L20" s="14">
        <f t="shared" si="5"/>
        <v>0.20357142857142854</v>
      </c>
      <c r="M20" s="14">
        <f t="shared" si="6"/>
        <v>0.28839285714285712</v>
      </c>
      <c r="N20" s="14">
        <f t="shared" si="7"/>
        <v>0.24598214285714284</v>
      </c>
      <c r="O20" s="14">
        <f t="shared" si="8"/>
        <v>0.32232142857142859</v>
      </c>
      <c r="P20" s="14">
        <f t="shared" si="9"/>
        <v>0.32232142857142859</v>
      </c>
      <c r="Q20" s="14">
        <f t="shared" si="9"/>
        <v>0.36473214285714289</v>
      </c>
      <c r="R20" s="14"/>
    </row>
    <row r="21" spans="1:18" x14ac:dyDescent="0.4">
      <c r="A21" s="2">
        <v>60</v>
      </c>
      <c r="B21" s="16">
        <f>B7/2</f>
        <v>7</v>
      </c>
      <c r="C21" s="16">
        <f>C7/2</f>
        <v>9</v>
      </c>
      <c r="D21" s="16">
        <f>D7/2</f>
        <v>12</v>
      </c>
      <c r="E21" s="16">
        <f>E7/2</f>
        <v>14.5</v>
      </c>
      <c r="F21" s="16">
        <f>F7/2</f>
        <v>17</v>
      </c>
      <c r="G21" s="16">
        <f>G7/2</f>
        <v>19</v>
      </c>
      <c r="H21" s="16">
        <f>H7/2</f>
        <v>21.5</v>
      </c>
      <c r="I21" s="14"/>
      <c r="J21" s="14"/>
      <c r="K21" s="14">
        <f t="shared" si="4"/>
        <v>0.11666666666666667</v>
      </c>
      <c r="L21" s="14">
        <f t="shared" si="5"/>
        <v>0.2</v>
      </c>
      <c r="M21" s="14">
        <f t="shared" si="6"/>
        <v>0.28333333333333333</v>
      </c>
      <c r="N21" s="14">
        <f t="shared" si="7"/>
        <v>0.24166666666666667</v>
      </c>
      <c r="O21" s="14">
        <f t="shared" si="8"/>
        <v>0.31666666666666665</v>
      </c>
      <c r="P21" s="14">
        <f t="shared" si="9"/>
        <v>0.31666666666666665</v>
      </c>
      <c r="Q21" s="14">
        <f t="shared" si="9"/>
        <v>0.35833333333333334</v>
      </c>
      <c r="R21" s="14"/>
    </row>
    <row r="22" spans="1:18" x14ac:dyDescent="0.4">
      <c r="A22" s="2">
        <v>67</v>
      </c>
      <c r="B22" s="16">
        <f>B8/2</f>
        <v>7.3500000000000005</v>
      </c>
      <c r="C22" s="16">
        <f>C8/2</f>
        <v>9.4500000000000011</v>
      </c>
      <c r="D22" s="16">
        <f>D8/2</f>
        <v>12.600000000000001</v>
      </c>
      <c r="E22" s="16">
        <f>E8/2</f>
        <v>15.225000000000001</v>
      </c>
      <c r="F22" s="16">
        <f>F8/2</f>
        <v>17.850000000000001</v>
      </c>
      <c r="G22" s="16">
        <f>G8/2</f>
        <v>19.95</v>
      </c>
      <c r="H22" s="16">
        <f>H8/2</f>
        <v>22.574999999999999</v>
      </c>
      <c r="I22" s="14"/>
      <c r="J22" s="14"/>
      <c r="K22" s="14">
        <f t="shared" si="4"/>
        <v>0.10970149253731344</v>
      </c>
      <c r="L22" s="14">
        <f t="shared" si="5"/>
        <v>0.18805970149253734</v>
      </c>
      <c r="M22" s="14">
        <f t="shared" si="6"/>
        <v>0.2664179104477612</v>
      </c>
      <c r="N22" s="14">
        <f t="shared" si="7"/>
        <v>0.22723880597014928</v>
      </c>
      <c r="O22" s="14">
        <f t="shared" si="8"/>
        <v>0.29776119402985074</v>
      </c>
      <c r="P22" s="14">
        <f t="shared" si="9"/>
        <v>0.29776119402985074</v>
      </c>
      <c r="Q22" s="14">
        <f t="shared" si="9"/>
        <v>0.33694029850746265</v>
      </c>
      <c r="R22" s="14"/>
    </row>
    <row r="23" spans="1:18" x14ac:dyDescent="0.4">
      <c r="A23" s="2">
        <v>75</v>
      </c>
      <c r="B23" s="16">
        <f>B9/2</f>
        <v>7.7175000000000011</v>
      </c>
      <c r="C23" s="16">
        <f>C9/2</f>
        <v>9.9225000000000012</v>
      </c>
      <c r="D23" s="16">
        <f>D9/2</f>
        <v>13.230000000000002</v>
      </c>
      <c r="E23" s="16">
        <f>E9/2</f>
        <v>15.986250000000002</v>
      </c>
      <c r="F23" s="16">
        <f>F9/2</f>
        <v>18.742500000000003</v>
      </c>
      <c r="G23" s="16">
        <f>G9/2</f>
        <v>20.947500000000002</v>
      </c>
      <c r="H23" s="16">
        <f>H9/2</f>
        <v>23.703749999999999</v>
      </c>
      <c r="I23" s="14"/>
      <c r="J23" s="14"/>
      <c r="K23" s="14">
        <f t="shared" si="4"/>
        <v>0.10290000000000002</v>
      </c>
      <c r="L23" s="14">
        <f t="shared" si="5"/>
        <v>0.17640000000000003</v>
      </c>
      <c r="M23" s="14">
        <f t="shared" si="6"/>
        <v>0.24990000000000004</v>
      </c>
      <c r="N23" s="14">
        <f t="shared" si="7"/>
        <v>0.21315000000000003</v>
      </c>
      <c r="O23" s="14">
        <f t="shared" si="8"/>
        <v>0.27930000000000005</v>
      </c>
      <c r="P23" s="14">
        <f t="shared" si="9"/>
        <v>0.27930000000000005</v>
      </c>
      <c r="Q23" s="14">
        <f t="shared" si="9"/>
        <v>0.31605</v>
      </c>
      <c r="R23" s="14"/>
    </row>
    <row r="24" spans="1:18" x14ac:dyDescent="0.4">
      <c r="A24" s="2">
        <v>82</v>
      </c>
      <c r="B24" s="16">
        <f>B10/2</f>
        <v>8.1033750000000015</v>
      </c>
      <c r="C24" s="16">
        <f>C10/2</f>
        <v>10.418625000000002</v>
      </c>
      <c r="D24" s="16">
        <f>D10/2</f>
        <v>13.891500000000002</v>
      </c>
      <c r="E24" s="16">
        <f>E10/2</f>
        <v>16.785562500000001</v>
      </c>
      <c r="F24" s="16">
        <f>F10/2</f>
        <v>19.679625000000005</v>
      </c>
      <c r="G24" s="16">
        <f>G10/2</f>
        <v>21.994875000000004</v>
      </c>
      <c r="H24" s="16">
        <f>H10/2</f>
        <v>24.888937500000001</v>
      </c>
      <c r="I24" s="14"/>
      <c r="J24" s="14"/>
      <c r="K24" s="14">
        <f t="shared" si="4"/>
        <v>9.882164634146344E-2</v>
      </c>
      <c r="L24" s="14">
        <f t="shared" si="5"/>
        <v>0.16940853658536589</v>
      </c>
      <c r="M24" s="14">
        <f t="shared" si="6"/>
        <v>0.23999542682926836</v>
      </c>
      <c r="N24" s="14">
        <f t="shared" si="7"/>
        <v>0.2047019817073171</v>
      </c>
      <c r="O24" s="14">
        <f t="shared" si="8"/>
        <v>0.26823018292682932</v>
      </c>
      <c r="P24" s="14">
        <f t="shared" si="9"/>
        <v>0.26823018292682932</v>
      </c>
      <c r="Q24" s="14">
        <f t="shared" si="9"/>
        <v>0.30352362804878052</v>
      </c>
      <c r="R24" s="14"/>
    </row>
    <row r="25" spans="1:18" x14ac:dyDescent="0.4">
      <c r="A25" s="2">
        <v>90</v>
      </c>
      <c r="B25" s="16">
        <f>B11/2</f>
        <v>8.5085437500000012</v>
      </c>
      <c r="C25" s="16">
        <f>C11/2</f>
        <v>10.939556250000003</v>
      </c>
      <c r="D25" s="16">
        <f>D11/2</f>
        <v>14.586075000000003</v>
      </c>
      <c r="E25" s="16">
        <f>E11/2</f>
        <v>17.624840625000001</v>
      </c>
      <c r="F25" s="16">
        <f>F11/2</f>
        <v>20.663606250000004</v>
      </c>
      <c r="G25" s="16">
        <f>G11/2</f>
        <v>23.094618750000006</v>
      </c>
      <c r="H25" s="16">
        <f>H11/2</f>
        <v>26.133384375000002</v>
      </c>
      <c r="I25" s="14"/>
      <c r="J25" s="14"/>
      <c r="K25" s="14">
        <f t="shared" si="4"/>
        <v>9.4539375000000009E-2</v>
      </c>
      <c r="L25" s="14">
        <f t="shared" si="5"/>
        <v>0.16206750000000003</v>
      </c>
      <c r="M25" s="14">
        <f t="shared" si="6"/>
        <v>0.22959562500000005</v>
      </c>
      <c r="N25" s="14">
        <f t="shared" si="7"/>
        <v>0.1958315625</v>
      </c>
      <c r="O25" s="14">
        <f t="shared" si="8"/>
        <v>0.25660687500000007</v>
      </c>
      <c r="P25" s="14">
        <f t="shared" si="9"/>
        <v>0.25660687500000007</v>
      </c>
      <c r="Q25" s="14">
        <f t="shared" si="9"/>
        <v>0.29037093750000004</v>
      </c>
      <c r="R25" s="14"/>
    </row>
    <row r="26" spans="1:18" x14ac:dyDescent="0.4">
      <c r="A26" s="4"/>
      <c r="B26" s="16"/>
      <c r="C26" s="16"/>
      <c r="D26" s="16"/>
      <c r="E26" s="16"/>
      <c r="F26" s="16"/>
      <c r="G26" s="16"/>
      <c r="H26" s="16"/>
      <c r="I26" s="5"/>
      <c r="J26" s="14"/>
      <c r="K26" s="14"/>
      <c r="L26" s="14"/>
      <c r="M26" s="14"/>
      <c r="N26" s="14"/>
      <c r="O26" s="14"/>
      <c r="P26" s="14"/>
      <c r="Q26" s="14"/>
      <c r="R26" s="14"/>
    </row>
    <row r="27" spans="1:18" x14ac:dyDescent="0.4">
      <c r="A27" s="4"/>
      <c r="B27" s="16"/>
      <c r="C27" s="16"/>
      <c r="D27" s="16"/>
      <c r="E27" s="16"/>
      <c r="F27" s="16"/>
      <c r="G27" s="16"/>
      <c r="H27" s="16"/>
      <c r="I27" s="5"/>
      <c r="J27" s="14"/>
      <c r="K27" s="14"/>
      <c r="L27" s="14"/>
      <c r="M27" s="14"/>
      <c r="N27" s="14"/>
      <c r="O27" s="14"/>
      <c r="P27" s="14"/>
      <c r="Q27" s="14"/>
      <c r="R27" s="14"/>
    </row>
    <row r="28" spans="1:18" x14ac:dyDescent="0.4">
      <c r="A28" s="5"/>
      <c r="B28" s="5"/>
      <c r="C28" s="5"/>
      <c r="D28" s="5"/>
      <c r="E28" s="5"/>
      <c r="F28" s="5"/>
      <c r="G28" s="5"/>
      <c r="H28" s="5"/>
      <c r="I28" s="14"/>
      <c r="J28" s="14"/>
      <c r="K28" s="14"/>
      <c r="L28" s="14"/>
      <c r="M28" s="14"/>
      <c r="N28" s="14"/>
      <c r="O28" s="14"/>
      <c r="P28" s="14"/>
      <c r="Q28" s="14"/>
      <c r="R28" s="14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zoomScale="94" zoomScaleNormal="94" workbookViewId="0">
      <selection activeCell="J13" sqref="J13"/>
    </sheetView>
  </sheetViews>
  <sheetFormatPr defaultRowHeight="17.399999999999999" x14ac:dyDescent="0.4"/>
  <sheetData>
    <row r="1" spans="1:18" ht="25.2" x14ac:dyDescent="0.4">
      <c r="A1" s="25" t="s">
        <v>65</v>
      </c>
      <c r="B1" s="26"/>
      <c r="C1" s="26"/>
      <c r="D1" s="26"/>
      <c r="E1" s="26"/>
      <c r="F1" s="26"/>
      <c r="G1" s="26"/>
      <c r="H1" s="26"/>
      <c r="I1" s="14"/>
      <c r="J1" s="14"/>
      <c r="K1" s="25" t="s">
        <v>66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I2" s="14"/>
      <c r="J2" s="14"/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  <c r="R2" s="14"/>
    </row>
    <row r="3" spans="1:18" x14ac:dyDescent="0.4">
      <c r="A3" s="3">
        <v>55</v>
      </c>
      <c r="B3" s="16">
        <f t="shared" ref="B3:B5" si="0">B4*0.95</f>
        <v>11.403087499999998</v>
      </c>
      <c r="C3" s="16">
        <f t="shared" ref="C3:C5" si="1">C4*0.95</f>
        <v>14.661112499999996</v>
      </c>
      <c r="D3" s="16">
        <f t="shared" ref="D3:D5" si="2">D4*0.95</f>
        <v>19.548149999999993</v>
      </c>
      <c r="E3" s="16">
        <f t="shared" ref="E3:E5" si="3">E4*0.95</f>
        <v>23.620681249999997</v>
      </c>
      <c r="F3" s="16">
        <f t="shared" ref="F3:F5" si="4">F4*0.95</f>
        <v>27.693212499999994</v>
      </c>
      <c r="G3" s="16">
        <f t="shared" ref="G3:G5" si="5">G4*0.95</f>
        <v>30.951237499999998</v>
      </c>
      <c r="H3" s="16">
        <f t="shared" ref="H3:H5" si="6">H4*0.95</f>
        <v>35.023768749999995</v>
      </c>
      <c r="I3" s="14"/>
      <c r="J3" s="14"/>
      <c r="K3" s="14">
        <f t="shared" ref="K3:Q13" si="7">B3/$A3</f>
        <v>0.2073288636363636</v>
      </c>
      <c r="L3" s="14">
        <f t="shared" si="7"/>
        <v>0.26656568181818174</v>
      </c>
      <c r="M3" s="14">
        <f t="shared" si="7"/>
        <v>0.35542090909090895</v>
      </c>
      <c r="N3" s="14">
        <f t="shared" si="7"/>
        <v>0.42946693181818174</v>
      </c>
      <c r="O3" s="14">
        <f t="shared" si="7"/>
        <v>0.50351295454545442</v>
      </c>
      <c r="P3" s="14">
        <f t="shared" si="7"/>
        <v>0.56274977272727267</v>
      </c>
      <c r="Q3" s="14">
        <f t="shared" si="7"/>
        <v>0.63679579545454534</v>
      </c>
      <c r="R3" s="14"/>
    </row>
    <row r="4" spans="1:18" x14ac:dyDescent="0.4">
      <c r="A4" s="3">
        <v>60</v>
      </c>
      <c r="B4" s="16">
        <f t="shared" si="0"/>
        <v>12.003249999999998</v>
      </c>
      <c r="C4" s="16">
        <f t="shared" si="1"/>
        <v>15.432749999999997</v>
      </c>
      <c r="D4" s="16">
        <f t="shared" si="2"/>
        <v>20.576999999999995</v>
      </c>
      <c r="E4" s="16">
        <f t="shared" si="3"/>
        <v>24.863874999999997</v>
      </c>
      <c r="F4" s="16">
        <f t="shared" si="4"/>
        <v>29.150749999999995</v>
      </c>
      <c r="G4" s="16">
        <f t="shared" si="5"/>
        <v>32.580249999999999</v>
      </c>
      <c r="H4" s="16">
        <f t="shared" si="6"/>
        <v>36.867124999999994</v>
      </c>
      <c r="I4" s="14"/>
      <c r="J4" s="14"/>
      <c r="K4" s="14">
        <f t="shared" si="7"/>
        <v>0.20005416666666662</v>
      </c>
      <c r="L4" s="14">
        <f t="shared" si="7"/>
        <v>0.25721249999999996</v>
      </c>
      <c r="M4" s="14">
        <f t="shared" si="7"/>
        <v>0.34294999999999992</v>
      </c>
      <c r="N4" s="14">
        <f t="shared" si="7"/>
        <v>0.41439791666666659</v>
      </c>
      <c r="O4" s="14">
        <f t="shared" si="7"/>
        <v>0.48584583333333325</v>
      </c>
      <c r="P4" s="14">
        <f t="shared" si="7"/>
        <v>0.54300416666666662</v>
      </c>
      <c r="Q4" s="14">
        <f t="shared" si="7"/>
        <v>0.61445208333333323</v>
      </c>
      <c r="R4" s="14"/>
    </row>
    <row r="5" spans="1:18" x14ac:dyDescent="0.4">
      <c r="A5" s="3">
        <v>65</v>
      </c>
      <c r="B5" s="16">
        <f t="shared" si="0"/>
        <v>12.634999999999998</v>
      </c>
      <c r="C5" s="16">
        <f t="shared" si="1"/>
        <v>16.244999999999997</v>
      </c>
      <c r="D5" s="16">
        <f t="shared" si="2"/>
        <v>21.659999999999997</v>
      </c>
      <c r="E5" s="16">
        <f t="shared" si="3"/>
        <v>26.172499999999996</v>
      </c>
      <c r="F5" s="16">
        <f t="shared" si="4"/>
        <v>30.684999999999995</v>
      </c>
      <c r="G5" s="16">
        <f t="shared" si="5"/>
        <v>34.295000000000002</v>
      </c>
      <c r="H5" s="16">
        <f t="shared" si="6"/>
        <v>38.807499999999997</v>
      </c>
      <c r="I5" s="14"/>
      <c r="J5" s="14"/>
      <c r="K5" s="14">
        <f t="shared" si="7"/>
        <v>0.19438461538461535</v>
      </c>
      <c r="L5" s="14">
        <f t="shared" si="7"/>
        <v>0.24992307692307689</v>
      </c>
      <c r="M5" s="14">
        <f t="shared" si="7"/>
        <v>0.33323076923076916</v>
      </c>
      <c r="N5" s="14">
        <f t="shared" si="7"/>
        <v>0.40265384615384608</v>
      </c>
      <c r="O5" s="14">
        <f t="shared" si="7"/>
        <v>0.47207692307692301</v>
      </c>
      <c r="P5" s="14">
        <f t="shared" si="7"/>
        <v>0.5276153846153846</v>
      </c>
      <c r="Q5" s="14">
        <f t="shared" si="7"/>
        <v>0.59703846153846152</v>
      </c>
      <c r="R5" s="14"/>
    </row>
    <row r="6" spans="1:18" x14ac:dyDescent="0.4">
      <c r="A6" s="3">
        <v>70</v>
      </c>
      <c r="B6" s="22">
        <f>B7*0.95</f>
        <v>13.299999999999999</v>
      </c>
      <c r="C6" s="22">
        <f t="shared" ref="C6:H6" si="8">C7*0.95</f>
        <v>17.099999999999998</v>
      </c>
      <c r="D6" s="22">
        <f t="shared" si="8"/>
        <v>22.799999999999997</v>
      </c>
      <c r="E6" s="23">
        <f t="shared" si="8"/>
        <v>27.549999999999997</v>
      </c>
      <c r="F6" s="22">
        <f t="shared" si="8"/>
        <v>32.299999999999997</v>
      </c>
      <c r="G6" s="22">
        <f t="shared" si="8"/>
        <v>36.1</v>
      </c>
      <c r="H6" s="22">
        <f t="shared" si="8"/>
        <v>40.85</v>
      </c>
      <c r="I6" s="14"/>
      <c r="J6" s="14"/>
      <c r="K6" s="14">
        <f t="shared" si="7"/>
        <v>0.18999999999999997</v>
      </c>
      <c r="L6" s="14">
        <f t="shared" si="7"/>
        <v>0.24428571428571424</v>
      </c>
      <c r="M6" s="14">
        <f t="shared" si="7"/>
        <v>0.32571428571428568</v>
      </c>
      <c r="N6" s="14">
        <f t="shared" si="7"/>
        <v>0.39357142857142852</v>
      </c>
      <c r="O6" s="14">
        <f t="shared" si="7"/>
        <v>0.46142857142857141</v>
      </c>
      <c r="P6" s="14">
        <f t="shared" si="7"/>
        <v>0.51571428571428568</v>
      </c>
      <c r="Q6" s="14">
        <f t="shared" si="7"/>
        <v>0.58357142857142863</v>
      </c>
      <c r="R6" s="14"/>
    </row>
    <row r="7" spans="1:18" x14ac:dyDescent="0.4">
      <c r="A7" s="3">
        <v>75</v>
      </c>
      <c r="B7" s="18">
        <v>14</v>
      </c>
      <c r="C7" s="16">
        <v>18</v>
      </c>
      <c r="D7" s="18">
        <v>24</v>
      </c>
      <c r="E7" s="16">
        <v>29</v>
      </c>
      <c r="F7" s="16">
        <v>34</v>
      </c>
      <c r="G7" s="16">
        <v>38</v>
      </c>
      <c r="H7" s="16">
        <v>43</v>
      </c>
      <c r="I7" s="14"/>
      <c r="J7" s="14"/>
      <c r="K7" s="14">
        <f t="shared" si="7"/>
        <v>0.18666666666666668</v>
      </c>
      <c r="L7" s="14">
        <f t="shared" si="7"/>
        <v>0.24</v>
      </c>
      <c r="M7" s="14">
        <f t="shared" si="7"/>
        <v>0.32</v>
      </c>
      <c r="N7" s="14">
        <f t="shared" si="7"/>
        <v>0.38666666666666666</v>
      </c>
      <c r="O7" s="14">
        <f t="shared" si="7"/>
        <v>0.45333333333333331</v>
      </c>
      <c r="P7" s="14">
        <f t="shared" si="7"/>
        <v>0.50666666666666671</v>
      </c>
      <c r="Q7" s="14">
        <f t="shared" si="7"/>
        <v>0.57333333333333336</v>
      </c>
      <c r="R7" s="14"/>
    </row>
    <row r="8" spans="1:18" x14ac:dyDescent="0.4">
      <c r="A8" s="3">
        <v>82</v>
      </c>
      <c r="B8" s="16">
        <f>B7*1.05</f>
        <v>14.700000000000001</v>
      </c>
      <c r="C8" s="16">
        <f t="shared" ref="C8:H8" si="9">C7*1.05</f>
        <v>18.900000000000002</v>
      </c>
      <c r="D8" s="16">
        <f t="shared" si="9"/>
        <v>25.200000000000003</v>
      </c>
      <c r="E8" s="16">
        <f t="shared" si="9"/>
        <v>30.450000000000003</v>
      </c>
      <c r="F8" s="16">
        <f t="shared" si="9"/>
        <v>35.700000000000003</v>
      </c>
      <c r="G8" s="16">
        <f t="shared" si="9"/>
        <v>39.9</v>
      </c>
      <c r="H8" s="16">
        <f t="shared" si="9"/>
        <v>45.15</v>
      </c>
      <c r="I8" s="14"/>
      <c r="J8" s="14"/>
      <c r="K8" s="14">
        <f t="shared" si="7"/>
        <v>0.17926829268292685</v>
      </c>
      <c r="L8" s="14">
        <f t="shared" si="7"/>
        <v>0.23048780487804882</v>
      </c>
      <c r="M8" s="14">
        <f t="shared" si="7"/>
        <v>0.30731707317073176</v>
      </c>
      <c r="N8" s="14">
        <f t="shared" si="7"/>
        <v>0.3713414634146342</v>
      </c>
      <c r="O8" s="14">
        <f t="shared" si="7"/>
        <v>0.43536585365853664</v>
      </c>
      <c r="P8" s="14">
        <f t="shared" si="7"/>
        <v>0.48658536585365852</v>
      </c>
      <c r="Q8" s="14">
        <f t="shared" si="7"/>
        <v>0.55060975609756091</v>
      </c>
      <c r="R8" s="14"/>
    </row>
    <row r="9" spans="1:18" x14ac:dyDescent="0.4">
      <c r="A9" s="3">
        <v>90</v>
      </c>
      <c r="B9" s="16">
        <f t="shared" ref="B9:B13" si="10">B8*1.05</f>
        <v>15.435000000000002</v>
      </c>
      <c r="C9" s="16">
        <f t="shared" ref="C9:C13" si="11">C8*1.05</f>
        <v>19.845000000000002</v>
      </c>
      <c r="D9" s="16">
        <f t="shared" ref="D9:D13" si="12">D8*1.05</f>
        <v>26.460000000000004</v>
      </c>
      <c r="E9" s="16">
        <f t="shared" ref="E9:E13" si="13">E8*1.05</f>
        <v>31.972500000000004</v>
      </c>
      <c r="F9" s="16">
        <f t="shared" ref="F9:F13" si="14">F8*1.05</f>
        <v>37.485000000000007</v>
      </c>
      <c r="G9" s="16">
        <f t="shared" ref="G9:G13" si="15">G8*1.05</f>
        <v>41.895000000000003</v>
      </c>
      <c r="H9" s="16">
        <f t="shared" ref="H9:H13" si="16">H8*1.05</f>
        <v>47.407499999999999</v>
      </c>
      <c r="I9" s="14"/>
      <c r="J9" s="14"/>
      <c r="K9" s="14">
        <f t="shared" si="7"/>
        <v>0.17150000000000001</v>
      </c>
      <c r="L9" s="14">
        <f t="shared" si="7"/>
        <v>0.22050000000000003</v>
      </c>
      <c r="M9" s="14">
        <f t="shared" si="7"/>
        <v>0.29400000000000004</v>
      </c>
      <c r="N9" s="14">
        <f t="shared" si="7"/>
        <v>0.35525000000000007</v>
      </c>
      <c r="O9" s="14">
        <f t="shared" si="7"/>
        <v>0.41650000000000009</v>
      </c>
      <c r="P9" s="14">
        <f t="shared" si="7"/>
        <v>0.46550000000000002</v>
      </c>
      <c r="Q9" s="14">
        <f t="shared" si="7"/>
        <v>0.52674999999999994</v>
      </c>
      <c r="R9" s="14"/>
    </row>
    <row r="10" spans="1:18" x14ac:dyDescent="0.4">
      <c r="A10" s="3">
        <v>100</v>
      </c>
      <c r="B10" s="16">
        <f t="shared" si="10"/>
        <v>16.206750000000003</v>
      </c>
      <c r="C10" s="16">
        <f t="shared" si="11"/>
        <v>20.837250000000004</v>
      </c>
      <c r="D10" s="16">
        <f t="shared" si="12"/>
        <v>27.783000000000005</v>
      </c>
      <c r="E10" s="16">
        <f t="shared" si="13"/>
        <v>33.571125000000002</v>
      </c>
      <c r="F10" s="16">
        <f t="shared" si="14"/>
        <v>39.35925000000001</v>
      </c>
      <c r="G10" s="16">
        <f t="shared" si="15"/>
        <v>43.989750000000008</v>
      </c>
      <c r="H10" s="16">
        <f t="shared" si="16"/>
        <v>49.777875000000002</v>
      </c>
      <c r="I10" s="14"/>
      <c r="J10" s="14"/>
      <c r="K10" s="14">
        <f t="shared" si="7"/>
        <v>0.16206750000000003</v>
      </c>
      <c r="L10" s="14">
        <f t="shared" si="7"/>
        <v>0.20837250000000004</v>
      </c>
      <c r="M10" s="14">
        <f t="shared" si="7"/>
        <v>0.27783000000000002</v>
      </c>
      <c r="N10" s="14">
        <f t="shared" si="7"/>
        <v>0.33571125000000002</v>
      </c>
      <c r="O10" s="14">
        <f t="shared" si="7"/>
        <v>0.39359250000000012</v>
      </c>
      <c r="P10" s="14">
        <f t="shared" si="7"/>
        <v>0.43989750000000005</v>
      </c>
      <c r="Q10" s="14">
        <f t="shared" si="7"/>
        <v>0.49777874999999999</v>
      </c>
      <c r="R10" s="14"/>
    </row>
    <row r="11" spans="1:18" x14ac:dyDescent="0.4">
      <c r="A11" s="3">
        <v>110</v>
      </c>
      <c r="B11" s="16">
        <f t="shared" si="10"/>
        <v>17.017087500000002</v>
      </c>
      <c r="C11" s="16">
        <f t="shared" si="11"/>
        <v>21.879112500000005</v>
      </c>
      <c r="D11" s="16">
        <f t="shared" si="12"/>
        <v>29.172150000000006</v>
      </c>
      <c r="E11" s="16">
        <f t="shared" si="13"/>
        <v>35.249681250000002</v>
      </c>
      <c r="F11" s="16">
        <f t="shared" si="14"/>
        <v>41.327212500000009</v>
      </c>
      <c r="G11" s="16">
        <f t="shared" si="15"/>
        <v>46.189237500000011</v>
      </c>
      <c r="H11" s="16">
        <f t="shared" si="16"/>
        <v>52.266768750000004</v>
      </c>
      <c r="I11" s="14"/>
      <c r="J11" s="14"/>
      <c r="K11" s="14">
        <f t="shared" si="7"/>
        <v>0.15470079545454549</v>
      </c>
      <c r="L11" s="14">
        <f t="shared" si="7"/>
        <v>0.19890102272727278</v>
      </c>
      <c r="M11" s="14">
        <f t="shared" si="7"/>
        <v>0.26520136363636371</v>
      </c>
      <c r="N11" s="14">
        <f t="shared" si="7"/>
        <v>0.32045164772727275</v>
      </c>
      <c r="O11" s="14">
        <f t="shared" si="7"/>
        <v>0.3757019318181819</v>
      </c>
      <c r="P11" s="14">
        <f t="shared" si="7"/>
        <v>0.41990215909090922</v>
      </c>
      <c r="Q11" s="14">
        <f t="shared" si="7"/>
        <v>0.47515244318181821</v>
      </c>
      <c r="R11" s="14"/>
    </row>
    <row r="12" spans="1:18" x14ac:dyDescent="0.4">
      <c r="A12" s="3">
        <v>120</v>
      </c>
      <c r="B12" s="16">
        <f t="shared" si="10"/>
        <v>17.867941875000003</v>
      </c>
      <c r="C12" s="16">
        <f t="shared" si="11"/>
        <v>22.973068125000005</v>
      </c>
      <c r="D12" s="16">
        <f t="shared" si="12"/>
        <v>30.630757500000009</v>
      </c>
      <c r="E12" s="16">
        <f t="shared" si="13"/>
        <v>37.012165312500002</v>
      </c>
      <c r="F12" s="16">
        <f t="shared" si="14"/>
        <v>43.39357312500001</v>
      </c>
      <c r="G12" s="16">
        <f t="shared" si="15"/>
        <v>48.498699375000015</v>
      </c>
      <c r="H12" s="16">
        <f t="shared" si="16"/>
        <v>54.880107187500009</v>
      </c>
      <c r="I12" s="14"/>
      <c r="J12" s="14"/>
      <c r="K12" s="14">
        <f t="shared" si="7"/>
        <v>0.14889951562500003</v>
      </c>
      <c r="L12" s="14">
        <f t="shared" si="7"/>
        <v>0.19144223437500005</v>
      </c>
      <c r="M12" s="14">
        <f t="shared" si="7"/>
        <v>0.25525631250000008</v>
      </c>
      <c r="N12" s="14">
        <f t="shared" si="7"/>
        <v>0.30843471093750002</v>
      </c>
      <c r="O12" s="14">
        <f t="shared" si="7"/>
        <v>0.36161310937500007</v>
      </c>
      <c r="P12" s="14">
        <f t="shared" si="7"/>
        <v>0.40415582812500012</v>
      </c>
      <c r="Q12" s="14">
        <f t="shared" si="7"/>
        <v>0.45733422656250006</v>
      </c>
      <c r="R12" s="14"/>
    </row>
    <row r="13" spans="1:18" x14ac:dyDescent="0.4">
      <c r="A13" s="3">
        <v>130</v>
      </c>
      <c r="B13" s="16">
        <f t="shared" si="10"/>
        <v>18.761338968750003</v>
      </c>
      <c r="C13" s="16">
        <f t="shared" si="11"/>
        <v>24.121721531250007</v>
      </c>
      <c r="D13" s="16">
        <f t="shared" si="12"/>
        <v>32.162295375000014</v>
      </c>
      <c r="E13" s="16">
        <f t="shared" si="13"/>
        <v>38.862773578125001</v>
      </c>
      <c r="F13" s="16">
        <f t="shared" si="14"/>
        <v>45.56325178125001</v>
      </c>
      <c r="G13" s="16">
        <f t="shared" si="15"/>
        <v>50.923634343750017</v>
      </c>
      <c r="H13" s="16">
        <f t="shared" si="16"/>
        <v>57.624112546875011</v>
      </c>
      <c r="I13" s="14"/>
      <c r="J13" s="14"/>
      <c r="K13" s="14">
        <f t="shared" si="7"/>
        <v>0.14431799206730772</v>
      </c>
      <c r="L13" s="14">
        <f t="shared" si="7"/>
        <v>0.18555170408653851</v>
      </c>
      <c r="M13" s="14">
        <f t="shared" si="7"/>
        <v>0.24740227211538471</v>
      </c>
      <c r="N13" s="14">
        <f t="shared" si="7"/>
        <v>0.29894441213942308</v>
      </c>
      <c r="O13" s="14">
        <f t="shared" si="7"/>
        <v>0.35048655216346164</v>
      </c>
      <c r="P13" s="14">
        <f t="shared" si="7"/>
        <v>0.39172026418269246</v>
      </c>
      <c r="Q13" s="14">
        <f t="shared" si="7"/>
        <v>0.44326240420673085</v>
      </c>
      <c r="R13" s="14"/>
    </row>
    <row r="14" spans="1:18" x14ac:dyDescent="0.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27.6" x14ac:dyDescent="0.4">
      <c r="A15" s="25" t="s">
        <v>67</v>
      </c>
      <c r="B15" s="26"/>
      <c r="C15" s="26"/>
      <c r="D15" s="26"/>
      <c r="E15" s="26"/>
      <c r="F15" s="26"/>
      <c r="G15" s="26"/>
      <c r="H15" s="26"/>
      <c r="I15" s="14"/>
      <c r="J15" s="14"/>
      <c r="K15" s="27" t="s">
        <v>68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I16" s="14"/>
      <c r="J16" s="14"/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  <c r="R16" s="14"/>
    </row>
    <row r="17" spans="1:18" x14ac:dyDescent="0.4">
      <c r="A17" s="2">
        <v>44</v>
      </c>
      <c r="B17" s="16">
        <f>B3/2</f>
        <v>5.701543749999999</v>
      </c>
      <c r="C17" s="16">
        <f>C3/2</f>
        <v>7.3305562499999981</v>
      </c>
      <c r="D17" s="16">
        <f>D3/2</f>
        <v>9.7740749999999963</v>
      </c>
      <c r="E17" s="16">
        <f>E3/2</f>
        <v>11.810340624999998</v>
      </c>
      <c r="F17" s="16">
        <f>F3/2</f>
        <v>13.846606249999997</v>
      </c>
      <c r="G17" s="16">
        <f>G3/2</f>
        <v>15.475618749999999</v>
      </c>
      <c r="H17" s="16">
        <f>H3/2</f>
        <v>17.511884374999998</v>
      </c>
      <c r="I17" s="14"/>
      <c r="J17" s="14"/>
      <c r="K17" s="14">
        <f>B17/$A17</f>
        <v>0.12958053977272724</v>
      </c>
      <c r="L17" s="14">
        <f>D17/$A17</f>
        <v>0.22213806818181811</v>
      </c>
      <c r="M17" s="14">
        <f>F17/$A17</f>
        <v>0.31469559659090901</v>
      </c>
      <c r="N17" s="14">
        <f>E17/$A17</f>
        <v>0.2684168323863636</v>
      </c>
      <c r="O17" s="14">
        <f>G17/$A17</f>
        <v>0.3517186079545454</v>
      </c>
      <c r="P17" s="14">
        <f>G17/$A17</f>
        <v>0.3517186079545454</v>
      </c>
      <c r="Q17" s="14">
        <f>H17/$A17</f>
        <v>0.39799737215909087</v>
      </c>
      <c r="R17" s="14"/>
    </row>
    <row r="18" spans="1:18" x14ac:dyDescent="0.4">
      <c r="A18" s="2">
        <v>48</v>
      </c>
      <c r="B18" s="16">
        <f>B4/2</f>
        <v>6.0016249999999989</v>
      </c>
      <c r="C18" s="16">
        <f>C4/2</f>
        <v>7.7163749999999984</v>
      </c>
      <c r="D18" s="16">
        <f>D4/2</f>
        <v>10.288499999999997</v>
      </c>
      <c r="E18" s="16">
        <f>E4/2</f>
        <v>12.431937499999998</v>
      </c>
      <c r="F18" s="16">
        <f>F4/2</f>
        <v>14.575374999999998</v>
      </c>
      <c r="G18" s="16">
        <f>G4/2</f>
        <v>16.290125</v>
      </c>
      <c r="H18" s="16">
        <f>H4/2</f>
        <v>18.433562499999997</v>
      </c>
      <c r="I18" s="14"/>
      <c r="J18" s="14"/>
      <c r="K18" s="14">
        <f t="shared" ref="K18:K25" si="17">B18/$A18</f>
        <v>0.12503385416666665</v>
      </c>
      <c r="L18" s="14">
        <f t="shared" ref="L18:L25" si="18">D18/$A18</f>
        <v>0.21434374999999994</v>
      </c>
      <c r="M18" s="14">
        <f t="shared" ref="M18:M25" si="19">F18/$A18</f>
        <v>0.30365364583333326</v>
      </c>
      <c r="N18" s="14">
        <f t="shared" ref="N18:N25" si="20">E18/$A18</f>
        <v>0.25899869791666663</v>
      </c>
      <c r="O18" s="14">
        <f t="shared" ref="O18:O25" si="21">G18/$A18</f>
        <v>0.33937760416666668</v>
      </c>
      <c r="P18" s="14">
        <f t="shared" ref="P18:Q25" si="22">G18/$A18</f>
        <v>0.33937760416666668</v>
      </c>
      <c r="Q18" s="14">
        <f t="shared" si="22"/>
        <v>0.38403255208333326</v>
      </c>
      <c r="R18" s="14"/>
    </row>
    <row r="19" spans="1:18" x14ac:dyDescent="0.4">
      <c r="A19" s="2">
        <v>52</v>
      </c>
      <c r="B19" s="16">
        <f>B5/2</f>
        <v>6.317499999999999</v>
      </c>
      <c r="C19" s="16">
        <f>C5/2</f>
        <v>8.1224999999999987</v>
      </c>
      <c r="D19" s="16">
        <f>D5/2</f>
        <v>10.829999999999998</v>
      </c>
      <c r="E19" s="16">
        <f>E5/2</f>
        <v>13.086249999999998</v>
      </c>
      <c r="F19" s="16">
        <f>F5/2</f>
        <v>15.342499999999998</v>
      </c>
      <c r="G19" s="16">
        <f>G5/2</f>
        <v>17.147500000000001</v>
      </c>
      <c r="H19" s="16">
        <f>H5/2</f>
        <v>19.403749999999999</v>
      </c>
      <c r="I19" s="14"/>
      <c r="J19" s="14"/>
      <c r="K19" s="14">
        <f t="shared" si="17"/>
        <v>0.1214903846153846</v>
      </c>
      <c r="L19" s="14">
        <f t="shared" si="18"/>
        <v>0.20826923076923073</v>
      </c>
      <c r="M19" s="14">
        <f t="shared" si="19"/>
        <v>0.29504807692307689</v>
      </c>
      <c r="N19" s="14">
        <f t="shared" si="20"/>
        <v>0.25165865384615382</v>
      </c>
      <c r="O19" s="14">
        <f t="shared" si="21"/>
        <v>0.3297596153846154</v>
      </c>
      <c r="P19" s="14">
        <f t="shared" si="22"/>
        <v>0.3297596153846154</v>
      </c>
      <c r="Q19" s="14">
        <f t="shared" si="22"/>
        <v>0.37314903846153846</v>
      </c>
      <c r="R19" s="14"/>
    </row>
    <row r="20" spans="1:18" x14ac:dyDescent="0.4">
      <c r="A20" s="2">
        <v>56</v>
      </c>
      <c r="B20" s="16">
        <f>B6/2</f>
        <v>6.6499999999999995</v>
      </c>
      <c r="C20" s="16">
        <f>C6/2</f>
        <v>8.5499999999999989</v>
      </c>
      <c r="D20" s="16">
        <f>D6/2</f>
        <v>11.399999999999999</v>
      </c>
      <c r="E20" s="16">
        <f>E6/2</f>
        <v>13.774999999999999</v>
      </c>
      <c r="F20" s="16">
        <f>F6/2</f>
        <v>16.149999999999999</v>
      </c>
      <c r="G20" s="16">
        <f>G6/2</f>
        <v>18.05</v>
      </c>
      <c r="H20" s="16">
        <f>H6/2</f>
        <v>20.425000000000001</v>
      </c>
      <c r="I20" s="14"/>
      <c r="J20" s="14"/>
      <c r="K20" s="14">
        <f t="shared" si="17"/>
        <v>0.11874999999999999</v>
      </c>
      <c r="L20" s="14">
        <f t="shared" si="18"/>
        <v>0.20357142857142854</v>
      </c>
      <c r="M20" s="14">
        <f t="shared" si="19"/>
        <v>0.28839285714285712</v>
      </c>
      <c r="N20" s="14">
        <f t="shared" si="20"/>
        <v>0.24598214285714284</v>
      </c>
      <c r="O20" s="14">
        <f t="shared" si="21"/>
        <v>0.32232142857142859</v>
      </c>
      <c r="P20" s="14">
        <f t="shared" si="22"/>
        <v>0.32232142857142859</v>
      </c>
      <c r="Q20" s="14">
        <f t="shared" si="22"/>
        <v>0.36473214285714289</v>
      </c>
      <c r="R20" s="14"/>
    </row>
    <row r="21" spans="1:18" x14ac:dyDescent="0.4">
      <c r="A21" s="2">
        <v>60</v>
      </c>
      <c r="B21" s="16">
        <f>B7/2</f>
        <v>7</v>
      </c>
      <c r="C21" s="16">
        <f>C7/2</f>
        <v>9</v>
      </c>
      <c r="D21" s="16">
        <f>D7/2</f>
        <v>12</v>
      </c>
      <c r="E21" s="16">
        <f>E7/2</f>
        <v>14.5</v>
      </c>
      <c r="F21" s="16">
        <f>F7/2</f>
        <v>17</v>
      </c>
      <c r="G21" s="16">
        <f>G7/2</f>
        <v>19</v>
      </c>
      <c r="H21" s="16">
        <f>H7/2</f>
        <v>21.5</v>
      </c>
      <c r="I21" s="14"/>
      <c r="J21" s="14"/>
      <c r="K21" s="14">
        <f t="shared" si="17"/>
        <v>0.11666666666666667</v>
      </c>
      <c r="L21" s="14">
        <f t="shared" si="18"/>
        <v>0.2</v>
      </c>
      <c r="M21" s="14">
        <f t="shared" si="19"/>
        <v>0.28333333333333333</v>
      </c>
      <c r="N21" s="14">
        <f t="shared" si="20"/>
        <v>0.24166666666666667</v>
      </c>
      <c r="O21" s="14">
        <f t="shared" si="21"/>
        <v>0.31666666666666665</v>
      </c>
      <c r="P21" s="14">
        <f t="shared" si="22"/>
        <v>0.31666666666666665</v>
      </c>
      <c r="Q21" s="14">
        <f t="shared" si="22"/>
        <v>0.35833333333333334</v>
      </c>
      <c r="R21" s="14"/>
    </row>
    <row r="22" spans="1:18" x14ac:dyDescent="0.4">
      <c r="A22" s="2">
        <v>67</v>
      </c>
      <c r="B22" s="16">
        <f>B8/2</f>
        <v>7.3500000000000005</v>
      </c>
      <c r="C22" s="16">
        <f>C8/2</f>
        <v>9.4500000000000011</v>
      </c>
      <c r="D22" s="16">
        <f>D8/2</f>
        <v>12.600000000000001</v>
      </c>
      <c r="E22" s="16">
        <f>E8/2</f>
        <v>15.225000000000001</v>
      </c>
      <c r="F22" s="16">
        <f>F8/2</f>
        <v>17.850000000000001</v>
      </c>
      <c r="G22" s="16">
        <f>G8/2</f>
        <v>19.95</v>
      </c>
      <c r="H22" s="16">
        <f>H8/2</f>
        <v>22.574999999999999</v>
      </c>
      <c r="I22" s="14"/>
      <c r="J22" s="14"/>
      <c r="K22" s="14">
        <f t="shared" si="17"/>
        <v>0.10970149253731344</v>
      </c>
      <c r="L22" s="14">
        <f t="shared" si="18"/>
        <v>0.18805970149253734</v>
      </c>
      <c r="M22" s="14">
        <f t="shared" si="19"/>
        <v>0.2664179104477612</v>
      </c>
      <c r="N22" s="14">
        <f t="shared" si="20"/>
        <v>0.22723880597014928</v>
      </c>
      <c r="O22" s="14">
        <f t="shared" si="21"/>
        <v>0.29776119402985074</v>
      </c>
      <c r="P22" s="14">
        <f t="shared" si="22"/>
        <v>0.29776119402985074</v>
      </c>
      <c r="Q22" s="14">
        <f t="shared" si="22"/>
        <v>0.33694029850746265</v>
      </c>
      <c r="R22" s="14"/>
    </row>
    <row r="23" spans="1:18" x14ac:dyDescent="0.4">
      <c r="A23" s="2">
        <v>75</v>
      </c>
      <c r="B23" s="16">
        <f>B9/2</f>
        <v>7.7175000000000011</v>
      </c>
      <c r="C23" s="16">
        <f>C9/2</f>
        <v>9.9225000000000012</v>
      </c>
      <c r="D23" s="16">
        <f>D9/2</f>
        <v>13.230000000000002</v>
      </c>
      <c r="E23" s="16">
        <f>E9/2</f>
        <v>15.986250000000002</v>
      </c>
      <c r="F23" s="16">
        <f>F9/2</f>
        <v>18.742500000000003</v>
      </c>
      <c r="G23" s="16">
        <f>G9/2</f>
        <v>20.947500000000002</v>
      </c>
      <c r="H23" s="16">
        <f>H9/2</f>
        <v>23.703749999999999</v>
      </c>
      <c r="I23" s="14"/>
      <c r="J23" s="14"/>
      <c r="K23" s="14">
        <f t="shared" si="17"/>
        <v>0.10290000000000002</v>
      </c>
      <c r="L23" s="14">
        <f t="shared" si="18"/>
        <v>0.17640000000000003</v>
      </c>
      <c r="M23" s="14">
        <f t="shared" si="19"/>
        <v>0.24990000000000004</v>
      </c>
      <c r="N23" s="14">
        <f t="shared" si="20"/>
        <v>0.21315000000000003</v>
      </c>
      <c r="O23" s="14">
        <f t="shared" si="21"/>
        <v>0.27930000000000005</v>
      </c>
      <c r="P23" s="14">
        <f t="shared" si="22"/>
        <v>0.27930000000000005</v>
      </c>
      <c r="Q23" s="14">
        <f t="shared" si="22"/>
        <v>0.31605</v>
      </c>
      <c r="R23" s="14"/>
    </row>
    <row r="24" spans="1:18" x14ac:dyDescent="0.4">
      <c r="A24" s="2">
        <v>82</v>
      </c>
      <c r="B24" s="16">
        <f>B10/2</f>
        <v>8.1033750000000015</v>
      </c>
      <c r="C24" s="16">
        <f>C10/2</f>
        <v>10.418625000000002</v>
      </c>
      <c r="D24" s="16">
        <f>D10/2</f>
        <v>13.891500000000002</v>
      </c>
      <c r="E24" s="16">
        <f>E10/2</f>
        <v>16.785562500000001</v>
      </c>
      <c r="F24" s="16">
        <f>F10/2</f>
        <v>19.679625000000005</v>
      </c>
      <c r="G24" s="16">
        <f>G10/2</f>
        <v>21.994875000000004</v>
      </c>
      <c r="H24" s="16">
        <f>H10/2</f>
        <v>24.888937500000001</v>
      </c>
      <c r="I24" s="14"/>
      <c r="J24" s="14"/>
      <c r="K24" s="14">
        <f t="shared" si="17"/>
        <v>9.882164634146344E-2</v>
      </c>
      <c r="L24" s="14">
        <f t="shared" si="18"/>
        <v>0.16940853658536589</v>
      </c>
      <c r="M24" s="14">
        <f t="shared" si="19"/>
        <v>0.23999542682926836</v>
      </c>
      <c r="N24" s="14">
        <f t="shared" si="20"/>
        <v>0.2047019817073171</v>
      </c>
      <c r="O24" s="14">
        <f t="shared" si="21"/>
        <v>0.26823018292682932</v>
      </c>
      <c r="P24" s="14">
        <f t="shared" si="22"/>
        <v>0.26823018292682932</v>
      </c>
      <c r="Q24" s="14">
        <f t="shared" si="22"/>
        <v>0.30352362804878052</v>
      </c>
      <c r="R24" s="14"/>
    </row>
    <row r="25" spans="1:18" x14ac:dyDescent="0.4">
      <c r="A25" s="2">
        <v>90</v>
      </c>
      <c r="B25" s="16">
        <f>B11/2</f>
        <v>8.5085437500000012</v>
      </c>
      <c r="C25" s="16">
        <f>C11/2</f>
        <v>10.939556250000003</v>
      </c>
      <c r="D25" s="16">
        <f>D11/2</f>
        <v>14.586075000000003</v>
      </c>
      <c r="E25" s="16">
        <f>E11/2</f>
        <v>17.624840625000001</v>
      </c>
      <c r="F25" s="16">
        <f>F11/2</f>
        <v>20.663606250000004</v>
      </c>
      <c r="G25" s="16">
        <f>G11/2</f>
        <v>23.094618750000006</v>
      </c>
      <c r="H25" s="16">
        <f>H11/2</f>
        <v>26.133384375000002</v>
      </c>
      <c r="I25" s="14"/>
      <c r="J25" s="14"/>
      <c r="K25" s="14">
        <f t="shared" si="17"/>
        <v>9.4539375000000009E-2</v>
      </c>
      <c r="L25" s="14">
        <f t="shared" si="18"/>
        <v>0.16206750000000003</v>
      </c>
      <c r="M25" s="14">
        <f t="shared" si="19"/>
        <v>0.22959562500000005</v>
      </c>
      <c r="N25" s="14">
        <f t="shared" si="20"/>
        <v>0.1958315625</v>
      </c>
      <c r="O25" s="14">
        <f t="shared" si="21"/>
        <v>0.25660687500000007</v>
      </c>
      <c r="P25" s="14">
        <f t="shared" si="22"/>
        <v>0.25660687500000007</v>
      </c>
      <c r="Q25" s="14">
        <f t="shared" si="22"/>
        <v>0.29037093750000004</v>
      </c>
      <c r="R25" s="14"/>
    </row>
    <row r="26" spans="1:18" x14ac:dyDescent="0.4">
      <c r="A26" s="4"/>
      <c r="B26" s="16"/>
      <c r="C26" s="16"/>
      <c r="D26" s="16"/>
      <c r="E26" s="16"/>
      <c r="F26" s="16"/>
      <c r="G26" s="16"/>
      <c r="H26" s="16"/>
      <c r="I26" s="5"/>
      <c r="J26" s="14"/>
      <c r="K26" s="14"/>
      <c r="L26" s="14"/>
      <c r="M26" s="14"/>
      <c r="N26" s="14"/>
      <c r="O26" s="14"/>
      <c r="P26" s="14"/>
      <c r="Q26" s="14"/>
      <c r="R26" s="14"/>
    </row>
    <row r="27" spans="1:18" x14ac:dyDescent="0.4">
      <c r="A27" s="4"/>
      <c r="B27" s="16"/>
      <c r="C27" s="16"/>
      <c r="D27" s="16"/>
      <c r="E27" s="16"/>
      <c r="F27" s="16"/>
      <c r="G27" s="16"/>
      <c r="H27" s="16"/>
      <c r="I27" s="5"/>
      <c r="J27" s="14"/>
      <c r="K27" s="14"/>
      <c r="L27" s="14"/>
      <c r="M27" s="14"/>
      <c r="N27" s="14"/>
      <c r="O27" s="14"/>
      <c r="P27" s="14"/>
      <c r="Q27" s="14"/>
      <c r="R27" s="14"/>
    </row>
    <row r="28" spans="1:18" x14ac:dyDescent="0.4">
      <c r="A28" s="5"/>
      <c r="B28" s="5"/>
      <c r="C28" s="5"/>
      <c r="D28" s="5"/>
      <c r="E28" s="5"/>
      <c r="F28" s="5"/>
      <c r="G28" s="5"/>
      <c r="H28" s="5"/>
      <c r="I28" s="14"/>
      <c r="J28" s="14"/>
      <c r="K28" s="14"/>
      <c r="L28" s="14"/>
      <c r="M28" s="14"/>
      <c r="N28" s="14"/>
      <c r="O28" s="14"/>
      <c r="P28" s="14"/>
      <c r="Q28" s="14"/>
      <c r="R28" s="14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4" zoomScaleNormal="94" workbookViewId="0">
      <selection activeCell="I13" sqref="I13"/>
    </sheetView>
  </sheetViews>
  <sheetFormatPr defaultRowHeight="17.399999999999999" x14ac:dyDescent="0.4"/>
  <sheetData>
    <row r="1" spans="1:18" ht="25.2" x14ac:dyDescent="0.4">
      <c r="A1" s="25" t="s">
        <v>73</v>
      </c>
      <c r="B1" s="26"/>
      <c r="C1" s="26"/>
      <c r="D1" s="26"/>
      <c r="E1" s="26"/>
      <c r="F1" s="26"/>
      <c r="G1" s="26"/>
      <c r="H1" s="26"/>
      <c r="I1" s="14"/>
      <c r="J1" s="14"/>
      <c r="K1" s="25" t="s">
        <v>74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I2" s="14"/>
      <c r="J2" s="14"/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  <c r="R2" s="14"/>
    </row>
    <row r="3" spans="1:18" x14ac:dyDescent="0.4">
      <c r="A3" s="3">
        <v>55</v>
      </c>
      <c r="B3" s="16">
        <f t="shared" ref="B3:B5" si="0">B4*0.95</f>
        <v>4.0725312499999999</v>
      </c>
      <c r="C3" s="16">
        <f t="shared" ref="C3:C5" si="1">C4*0.95</f>
        <v>6.516049999999999</v>
      </c>
      <c r="D3" s="16">
        <f t="shared" ref="D3:D5" si="2">D4*0.95</f>
        <v>8.9595687499999972</v>
      </c>
      <c r="E3" s="16">
        <f t="shared" ref="E3:E5" si="3">E4*0.95</f>
        <v>10.588581249999999</v>
      </c>
      <c r="F3" s="16">
        <f t="shared" ref="F3:F5" si="4">F4*0.95</f>
        <v>12.217593749999999</v>
      </c>
      <c r="G3" s="16">
        <f t="shared" ref="G3:G5" si="5">G4*0.95</f>
        <v>15.475618749999999</v>
      </c>
      <c r="H3" s="16">
        <f t="shared" ref="H3:H5" si="6">H4*0.95</f>
        <v>18.733643749999995</v>
      </c>
      <c r="I3" s="14"/>
      <c r="J3" s="14"/>
      <c r="K3" s="14">
        <f t="shared" ref="K3:Q13" si="7">B3/$A3</f>
        <v>7.4046022727272731E-2</v>
      </c>
      <c r="L3" s="14">
        <f t="shared" si="7"/>
        <v>0.11847363636363635</v>
      </c>
      <c r="M3" s="14">
        <f t="shared" si="7"/>
        <v>0.16290124999999994</v>
      </c>
      <c r="N3" s="14">
        <f t="shared" si="7"/>
        <v>0.19251965909090907</v>
      </c>
      <c r="O3" s="14">
        <f t="shared" si="7"/>
        <v>0.22213806818181817</v>
      </c>
      <c r="P3" s="14">
        <f t="shared" si="7"/>
        <v>0.28137488636363633</v>
      </c>
      <c r="Q3" s="14">
        <f t="shared" si="7"/>
        <v>0.34061170454545447</v>
      </c>
      <c r="R3" s="14"/>
    </row>
    <row r="4" spans="1:18" x14ac:dyDescent="0.4">
      <c r="A4" s="3">
        <v>60</v>
      </c>
      <c r="B4" s="16">
        <f t="shared" si="0"/>
        <v>4.2868750000000002</v>
      </c>
      <c r="C4" s="16">
        <f t="shared" si="1"/>
        <v>6.8589999999999991</v>
      </c>
      <c r="D4" s="16">
        <f t="shared" si="2"/>
        <v>9.431124999999998</v>
      </c>
      <c r="E4" s="16">
        <f t="shared" si="3"/>
        <v>11.145875</v>
      </c>
      <c r="F4" s="16">
        <f t="shared" si="4"/>
        <v>12.860624999999999</v>
      </c>
      <c r="G4" s="16">
        <f t="shared" si="5"/>
        <v>16.290125</v>
      </c>
      <c r="H4" s="16">
        <f t="shared" si="6"/>
        <v>19.719624999999997</v>
      </c>
      <c r="I4" s="14"/>
      <c r="J4" s="14"/>
      <c r="K4" s="14">
        <f t="shared" si="7"/>
        <v>7.1447916666666667E-2</v>
      </c>
      <c r="L4" s="14">
        <f t="shared" si="7"/>
        <v>0.11431666666666665</v>
      </c>
      <c r="M4" s="14">
        <f t="shared" si="7"/>
        <v>0.15718541666666663</v>
      </c>
      <c r="N4" s="14">
        <f t="shared" si="7"/>
        <v>0.18576458333333334</v>
      </c>
      <c r="O4" s="14">
        <f t="shared" si="7"/>
        <v>0.21434374999999997</v>
      </c>
      <c r="P4" s="14">
        <f t="shared" si="7"/>
        <v>0.27150208333333331</v>
      </c>
      <c r="Q4" s="14">
        <f t="shared" si="7"/>
        <v>0.32866041666666662</v>
      </c>
      <c r="R4" s="14"/>
    </row>
    <row r="5" spans="1:18" x14ac:dyDescent="0.4">
      <c r="A5" s="3">
        <v>65</v>
      </c>
      <c r="B5" s="16">
        <f t="shared" si="0"/>
        <v>4.5125000000000002</v>
      </c>
      <c r="C5" s="16">
        <f t="shared" si="1"/>
        <v>7.22</v>
      </c>
      <c r="D5" s="16">
        <f t="shared" si="2"/>
        <v>9.9274999999999984</v>
      </c>
      <c r="E5" s="16">
        <f t="shared" si="3"/>
        <v>11.7325</v>
      </c>
      <c r="F5" s="16">
        <f t="shared" si="4"/>
        <v>13.5375</v>
      </c>
      <c r="G5" s="16">
        <f t="shared" si="5"/>
        <v>17.147500000000001</v>
      </c>
      <c r="H5" s="16">
        <f t="shared" si="6"/>
        <v>20.757499999999997</v>
      </c>
      <c r="I5" s="14"/>
      <c r="J5" s="14"/>
      <c r="K5" s="14">
        <f t="shared" si="7"/>
        <v>6.9423076923076921E-2</v>
      </c>
      <c r="L5" s="14">
        <f t="shared" si="7"/>
        <v>0.11107692307692307</v>
      </c>
      <c r="M5" s="14">
        <f t="shared" si="7"/>
        <v>0.1527307692307692</v>
      </c>
      <c r="N5" s="14">
        <f t="shared" si="7"/>
        <v>0.18049999999999999</v>
      </c>
      <c r="O5" s="14">
        <f t="shared" si="7"/>
        <v>0.20826923076923076</v>
      </c>
      <c r="P5" s="14">
        <f t="shared" si="7"/>
        <v>0.2638076923076923</v>
      </c>
      <c r="Q5" s="14">
        <f t="shared" si="7"/>
        <v>0.31934615384615378</v>
      </c>
      <c r="R5" s="14"/>
    </row>
    <row r="6" spans="1:18" x14ac:dyDescent="0.4">
      <c r="A6" s="3">
        <v>70</v>
      </c>
      <c r="B6" s="22">
        <f>B7*0.95</f>
        <v>4.75</v>
      </c>
      <c r="C6" s="22">
        <f t="shared" ref="C6:H6" si="8">C7*0.95</f>
        <v>7.6</v>
      </c>
      <c r="D6" s="22">
        <f t="shared" si="8"/>
        <v>10.45</v>
      </c>
      <c r="E6" s="23">
        <f t="shared" si="8"/>
        <v>12.35</v>
      </c>
      <c r="F6" s="22">
        <f t="shared" si="8"/>
        <v>14.25</v>
      </c>
      <c r="G6" s="22">
        <f t="shared" si="8"/>
        <v>18.05</v>
      </c>
      <c r="H6" s="22">
        <f t="shared" si="8"/>
        <v>21.849999999999998</v>
      </c>
      <c r="I6" s="14"/>
      <c r="J6" s="14"/>
      <c r="K6" s="14">
        <f t="shared" si="7"/>
        <v>6.7857142857142852E-2</v>
      </c>
      <c r="L6" s="14">
        <f t="shared" si="7"/>
        <v>0.10857142857142857</v>
      </c>
      <c r="M6" s="14">
        <f t="shared" si="7"/>
        <v>0.14928571428571427</v>
      </c>
      <c r="N6" s="14">
        <f t="shared" si="7"/>
        <v>0.17642857142857143</v>
      </c>
      <c r="O6" s="14">
        <f t="shared" si="7"/>
        <v>0.20357142857142857</v>
      </c>
      <c r="P6" s="14">
        <f t="shared" si="7"/>
        <v>0.25785714285714284</v>
      </c>
      <c r="Q6" s="14">
        <f t="shared" si="7"/>
        <v>0.31214285714285711</v>
      </c>
      <c r="R6" s="14"/>
    </row>
    <row r="7" spans="1:18" x14ac:dyDescent="0.4">
      <c r="A7" s="3">
        <v>75</v>
      </c>
      <c r="B7" s="18">
        <v>5</v>
      </c>
      <c r="C7" s="16">
        <v>8</v>
      </c>
      <c r="D7" s="18">
        <v>11</v>
      </c>
      <c r="E7" s="16">
        <v>13</v>
      </c>
      <c r="F7" s="16">
        <v>15</v>
      </c>
      <c r="G7" s="16">
        <v>19</v>
      </c>
      <c r="H7" s="16">
        <v>23</v>
      </c>
      <c r="I7" s="14"/>
      <c r="J7" s="14"/>
      <c r="K7" s="14">
        <f t="shared" si="7"/>
        <v>6.6666666666666666E-2</v>
      </c>
      <c r="L7" s="14">
        <f t="shared" si="7"/>
        <v>0.10666666666666667</v>
      </c>
      <c r="M7" s="14">
        <f t="shared" si="7"/>
        <v>0.14666666666666667</v>
      </c>
      <c r="N7" s="14">
        <f t="shared" si="7"/>
        <v>0.17333333333333334</v>
      </c>
      <c r="O7" s="14">
        <f t="shared" si="7"/>
        <v>0.2</v>
      </c>
      <c r="P7" s="14">
        <f t="shared" si="7"/>
        <v>0.25333333333333335</v>
      </c>
      <c r="Q7" s="14">
        <f t="shared" si="7"/>
        <v>0.30666666666666664</v>
      </c>
      <c r="R7" s="14"/>
    </row>
    <row r="8" spans="1:18" x14ac:dyDescent="0.4">
      <c r="A8" s="3">
        <v>82</v>
      </c>
      <c r="B8" s="16">
        <f>B7*1.05</f>
        <v>5.25</v>
      </c>
      <c r="C8" s="16">
        <f t="shared" ref="C8:H8" si="9">C7*1.05</f>
        <v>8.4</v>
      </c>
      <c r="D8" s="16">
        <f t="shared" si="9"/>
        <v>11.55</v>
      </c>
      <c r="E8" s="16">
        <f t="shared" si="9"/>
        <v>13.65</v>
      </c>
      <c r="F8" s="16">
        <f t="shared" si="9"/>
        <v>15.75</v>
      </c>
      <c r="G8" s="16">
        <f t="shared" si="9"/>
        <v>19.95</v>
      </c>
      <c r="H8" s="16">
        <f t="shared" si="9"/>
        <v>24.150000000000002</v>
      </c>
      <c r="I8" s="14"/>
      <c r="J8" s="14"/>
      <c r="K8" s="14">
        <f t="shared" si="7"/>
        <v>6.402439024390244E-2</v>
      </c>
      <c r="L8" s="14">
        <f t="shared" si="7"/>
        <v>0.10243902439024391</v>
      </c>
      <c r="M8" s="14">
        <f t="shared" si="7"/>
        <v>0.14085365853658538</v>
      </c>
      <c r="N8" s="14">
        <f t="shared" si="7"/>
        <v>0.16646341463414635</v>
      </c>
      <c r="O8" s="14">
        <f t="shared" si="7"/>
        <v>0.19207317073170732</v>
      </c>
      <c r="P8" s="14">
        <f t="shared" si="7"/>
        <v>0.24329268292682926</v>
      </c>
      <c r="Q8" s="14">
        <f t="shared" si="7"/>
        <v>0.29451219512195126</v>
      </c>
      <c r="R8" s="14"/>
    </row>
    <row r="9" spans="1:18" x14ac:dyDescent="0.4">
      <c r="A9" s="3">
        <v>90</v>
      </c>
      <c r="B9" s="16">
        <f t="shared" ref="B9:B13" si="10">B8*1.05</f>
        <v>5.5125000000000002</v>
      </c>
      <c r="C9" s="16">
        <f t="shared" ref="C9:C13" si="11">C8*1.05</f>
        <v>8.82</v>
      </c>
      <c r="D9" s="16">
        <f t="shared" ref="D9:D13" si="12">D8*1.05</f>
        <v>12.127500000000001</v>
      </c>
      <c r="E9" s="16">
        <f t="shared" ref="E9:E13" si="13">E8*1.05</f>
        <v>14.332500000000001</v>
      </c>
      <c r="F9" s="16">
        <f t="shared" ref="F9:F13" si="14">F8*1.05</f>
        <v>16.537500000000001</v>
      </c>
      <c r="G9" s="16">
        <f t="shared" ref="G9:G13" si="15">G8*1.05</f>
        <v>20.947500000000002</v>
      </c>
      <c r="H9" s="16">
        <f t="shared" ref="H9:H13" si="16">H8*1.05</f>
        <v>25.357500000000002</v>
      </c>
      <c r="I9" s="14"/>
      <c r="J9" s="14"/>
      <c r="K9" s="14">
        <f t="shared" si="7"/>
        <v>6.1249999999999999E-2</v>
      </c>
      <c r="L9" s="14">
        <f t="shared" si="7"/>
        <v>9.8000000000000004E-2</v>
      </c>
      <c r="M9" s="14">
        <f t="shared" si="7"/>
        <v>0.13475000000000001</v>
      </c>
      <c r="N9" s="14">
        <f t="shared" si="7"/>
        <v>0.15925</v>
      </c>
      <c r="O9" s="14">
        <f t="shared" si="7"/>
        <v>0.18375000000000002</v>
      </c>
      <c r="P9" s="14">
        <f t="shared" si="7"/>
        <v>0.23275000000000001</v>
      </c>
      <c r="Q9" s="14">
        <f t="shared" si="7"/>
        <v>0.28175</v>
      </c>
      <c r="R9" s="14"/>
    </row>
    <row r="10" spans="1:18" x14ac:dyDescent="0.4">
      <c r="A10" s="3">
        <v>100</v>
      </c>
      <c r="B10" s="16">
        <f t="shared" si="10"/>
        <v>5.7881250000000009</v>
      </c>
      <c r="C10" s="16">
        <f t="shared" si="11"/>
        <v>9.261000000000001</v>
      </c>
      <c r="D10" s="16">
        <f t="shared" si="12"/>
        <v>12.733875000000001</v>
      </c>
      <c r="E10" s="16">
        <f t="shared" si="13"/>
        <v>15.049125000000002</v>
      </c>
      <c r="F10" s="16">
        <f t="shared" si="14"/>
        <v>17.364375000000003</v>
      </c>
      <c r="G10" s="16">
        <f t="shared" si="15"/>
        <v>21.994875000000004</v>
      </c>
      <c r="H10" s="16">
        <f t="shared" si="16"/>
        <v>26.625375000000002</v>
      </c>
      <c r="I10" s="14"/>
      <c r="J10" s="14"/>
      <c r="K10" s="14">
        <f t="shared" si="7"/>
        <v>5.7881250000000009E-2</v>
      </c>
      <c r="L10" s="14">
        <f t="shared" si="7"/>
        <v>9.2610000000000012E-2</v>
      </c>
      <c r="M10" s="14">
        <f t="shared" si="7"/>
        <v>0.12733875</v>
      </c>
      <c r="N10" s="14">
        <f t="shared" si="7"/>
        <v>0.15049125000000002</v>
      </c>
      <c r="O10" s="14">
        <f t="shared" si="7"/>
        <v>0.17364375000000001</v>
      </c>
      <c r="P10" s="14">
        <f t="shared" si="7"/>
        <v>0.21994875000000003</v>
      </c>
      <c r="Q10" s="14">
        <f t="shared" si="7"/>
        <v>0.26625375000000001</v>
      </c>
      <c r="R10" s="14"/>
    </row>
    <row r="11" spans="1:18" x14ac:dyDescent="0.4">
      <c r="A11" s="3">
        <v>110</v>
      </c>
      <c r="B11" s="16">
        <f t="shared" si="10"/>
        <v>6.0775312500000007</v>
      </c>
      <c r="C11" s="16">
        <f t="shared" si="11"/>
        <v>9.7240500000000019</v>
      </c>
      <c r="D11" s="16">
        <f t="shared" si="12"/>
        <v>13.370568750000002</v>
      </c>
      <c r="E11" s="16">
        <f t="shared" si="13"/>
        <v>15.801581250000003</v>
      </c>
      <c r="F11" s="16">
        <f t="shared" si="14"/>
        <v>18.232593750000003</v>
      </c>
      <c r="G11" s="16">
        <f t="shared" si="15"/>
        <v>23.094618750000006</v>
      </c>
      <c r="H11" s="16">
        <f t="shared" si="16"/>
        <v>27.956643750000001</v>
      </c>
      <c r="I11" s="14"/>
      <c r="J11" s="14"/>
      <c r="K11" s="14">
        <f t="shared" si="7"/>
        <v>5.5250284090909096E-2</v>
      </c>
      <c r="L11" s="14">
        <f t="shared" si="7"/>
        <v>8.840045454545456E-2</v>
      </c>
      <c r="M11" s="14">
        <f t="shared" si="7"/>
        <v>0.12155062500000002</v>
      </c>
      <c r="N11" s="14">
        <f t="shared" si="7"/>
        <v>0.14365073863636366</v>
      </c>
      <c r="O11" s="14">
        <f t="shared" si="7"/>
        <v>0.16575085227272729</v>
      </c>
      <c r="P11" s="14">
        <f t="shared" si="7"/>
        <v>0.20995107954545461</v>
      </c>
      <c r="Q11" s="14">
        <f t="shared" si="7"/>
        <v>0.25415130681818182</v>
      </c>
      <c r="R11" s="14"/>
    </row>
    <row r="12" spans="1:18" x14ac:dyDescent="0.4">
      <c r="A12" s="3">
        <v>120</v>
      </c>
      <c r="B12" s="16">
        <f t="shared" si="10"/>
        <v>6.3814078125000009</v>
      </c>
      <c r="C12" s="16">
        <f t="shared" si="11"/>
        <v>10.210252500000003</v>
      </c>
      <c r="D12" s="16">
        <f t="shared" si="12"/>
        <v>14.039097187500003</v>
      </c>
      <c r="E12" s="16">
        <f t="shared" si="13"/>
        <v>16.591660312500004</v>
      </c>
      <c r="F12" s="16">
        <f t="shared" si="14"/>
        <v>19.144223437500003</v>
      </c>
      <c r="G12" s="16">
        <f t="shared" si="15"/>
        <v>24.249349687500008</v>
      </c>
      <c r="H12" s="16">
        <f t="shared" si="16"/>
        <v>29.354475937500002</v>
      </c>
      <c r="I12" s="14"/>
      <c r="J12" s="14"/>
      <c r="K12" s="14">
        <f t="shared" si="7"/>
        <v>5.317839843750001E-2</v>
      </c>
      <c r="L12" s="14">
        <f t="shared" si="7"/>
        <v>8.5085437500000027E-2</v>
      </c>
      <c r="M12" s="14">
        <f t="shared" si="7"/>
        <v>0.11699247656250003</v>
      </c>
      <c r="N12" s="14">
        <f t="shared" si="7"/>
        <v>0.13826383593750002</v>
      </c>
      <c r="O12" s="14">
        <f t="shared" si="7"/>
        <v>0.15953519531250002</v>
      </c>
      <c r="P12" s="14">
        <f t="shared" si="7"/>
        <v>0.20207791406250006</v>
      </c>
      <c r="Q12" s="14">
        <f t="shared" si="7"/>
        <v>0.24462063281250002</v>
      </c>
      <c r="R12" s="14"/>
    </row>
    <row r="13" spans="1:18" x14ac:dyDescent="0.4">
      <c r="A13" s="3">
        <v>130</v>
      </c>
      <c r="B13" s="16">
        <f t="shared" si="10"/>
        <v>6.7004782031250016</v>
      </c>
      <c r="C13" s="16">
        <f t="shared" si="11"/>
        <v>10.720765125000003</v>
      </c>
      <c r="D13" s="16">
        <f t="shared" si="12"/>
        <v>14.741052046875003</v>
      </c>
      <c r="E13" s="16">
        <f t="shared" si="13"/>
        <v>17.421243328125005</v>
      </c>
      <c r="F13" s="16">
        <f t="shared" si="14"/>
        <v>20.101434609375005</v>
      </c>
      <c r="G13" s="16">
        <f t="shared" si="15"/>
        <v>25.461817171875008</v>
      </c>
      <c r="H13" s="16">
        <f t="shared" si="16"/>
        <v>30.822199734375005</v>
      </c>
      <c r="I13" s="14"/>
      <c r="J13" s="14"/>
      <c r="K13" s="14">
        <f t="shared" si="7"/>
        <v>5.1542140024038473E-2</v>
      </c>
      <c r="L13" s="14">
        <f t="shared" si="7"/>
        <v>8.2467424038461565E-2</v>
      </c>
      <c r="M13" s="14">
        <f t="shared" si="7"/>
        <v>0.11339270805288464</v>
      </c>
      <c r="N13" s="14">
        <f t="shared" si="7"/>
        <v>0.13400956406250003</v>
      </c>
      <c r="O13" s="14">
        <f t="shared" si="7"/>
        <v>0.15462642007211541</v>
      </c>
      <c r="P13" s="14">
        <f t="shared" si="7"/>
        <v>0.19586013209134623</v>
      </c>
      <c r="Q13" s="14">
        <f t="shared" si="7"/>
        <v>0.23709384411057696</v>
      </c>
      <c r="R13" s="14"/>
    </row>
    <row r="14" spans="1:18" x14ac:dyDescent="0.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27.6" x14ac:dyDescent="0.4">
      <c r="A15" s="25" t="s">
        <v>75</v>
      </c>
      <c r="B15" s="26"/>
      <c r="C15" s="26"/>
      <c r="D15" s="26"/>
      <c r="E15" s="26"/>
      <c r="F15" s="26"/>
      <c r="G15" s="26"/>
      <c r="H15" s="26"/>
      <c r="I15" s="14"/>
      <c r="J15" s="14"/>
      <c r="K15" s="27" t="s">
        <v>76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I16" s="14"/>
      <c r="J16" s="14"/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  <c r="R16" s="14"/>
    </row>
    <row r="17" spans="1:18" x14ac:dyDescent="0.4">
      <c r="A17" s="2">
        <v>44</v>
      </c>
      <c r="B17" s="16">
        <f>B3/2</f>
        <v>2.036265625</v>
      </c>
      <c r="C17" s="16">
        <f>C3/2</f>
        <v>3.2580249999999995</v>
      </c>
      <c r="D17" s="16">
        <f>D3/2</f>
        <v>4.4797843749999986</v>
      </c>
      <c r="E17" s="16">
        <f>E3/2</f>
        <v>5.2942906249999995</v>
      </c>
      <c r="F17" s="16">
        <f>F3/2</f>
        <v>6.1087968749999995</v>
      </c>
      <c r="G17" s="16">
        <f>G3/2</f>
        <v>7.7378093749999994</v>
      </c>
      <c r="H17" s="16">
        <f>H3/2</f>
        <v>9.3668218749999976</v>
      </c>
      <c r="I17" s="14"/>
      <c r="J17" s="14"/>
      <c r="K17" s="14">
        <f>B17/$A17</f>
        <v>4.6278764204545457E-2</v>
      </c>
      <c r="L17" s="14">
        <f>D17/$A17</f>
        <v>0.10181328124999997</v>
      </c>
      <c r="M17" s="14">
        <f>F17/$A17</f>
        <v>0.13883629261363636</v>
      </c>
      <c r="N17" s="14">
        <f>E17/$A17</f>
        <v>0.12032478693181817</v>
      </c>
      <c r="O17" s="14">
        <f>G17/$A17</f>
        <v>0.1758593039772727</v>
      </c>
      <c r="P17" s="14">
        <f>G17/$A17</f>
        <v>0.1758593039772727</v>
      </c>
      <c r="Q17" s="14">
        <f>H17/$A17</f>
        <v>0.21288231534090904</v>
      </c>
      <c r="R17" s="14"/>
    </row>
    <row r="18" spans="1:18" x14ac:dyDescent="0.4">
      <c r="A18" s="2">
        <v>48</v>
      </c>
      <c r="B18" s="16">
        <f>B4/2</f>
        <v>2.1434375000000001</v>
      </c>
      <c r="C18" s="16">
        <f>C4/2</f>
        <v>3.4294999999999995</v>
      </c>
      <c r="D18" s="16">
        <f>D4/2</f>
        <v>4.715562499999999</v>
      </c>
      <c r="E18" s="16">
        <f>E4/2</f>
        <v>5.5729375000000001</v>
      </c>
      <c r="F18" s="16">
        <f>F4/2</f>
        <v>6.4303124999999994</v>
      </c>
      <c r="G18" s="16">
        <f>G4/2</f>
        <v>8.1450624999999999</v>
      </c>
      <c r="H18" s="16">
        <f>H4/2</f>
        <v>9.8598124999999985</v>
      </c>
      <c r="I18" s="14"/>
      <c r="J18" s="14"/>
      <c r="K18" s="14">
        <f t="shared" ref="K18:K25" si="17">B18/$A18</f>
        <v>4.4654947916666667E-2</v>
      </c>
      <c r="L18" s="14">
        <f t="shared" ref="L18:L25" si="18">D18/$A18</f>
        <v>9.8240885416666646E-2</v>
      </c>
      <c r="M18" s="14">
        <f t="shared" ref="M18:M25" si="19">F18/$A18</f>
        <v>0.13396484374999998</v>
      </c>
      <c r="N18" s="14">
        <f t="shared" ref="N18:N25" si="20">E18/$A18</f>
        <v>0.11610286458333334</v>
      </c>
      <c r="O18" s="14">
        <f t="shared" ref="O18:O25" si="21">G18/$A18</f>
        <v>0.16968880208333334</v>
      </c>
      <c r="P18" s="14">
        <f t="shared" ref="P18:Q25" si="22">G18/$A18</f>
        <v>0.16968880208333334</v>
      </c>
      <c r="Q18" s="14">
        <f t="shared" si="22"/>
        <v>0.20541276041666665</v>
      </c>
      <c r="R18" s="14"/>
    </row>
    <row r="19" spans="1:18" x14ac:dyDescent="0.4">
      <c r="A19" s="2">
        <v>52</v>
      </c>
      <c r="B19" s="16">
        <f>B5/2</f>
        <v>2.2562500000000001</v>
      </c>
      <c r="C19" s="16">
        <f>C5/2</f>
        <v>3.61</v>
      </c>
      <c r="D19" s="16">
        <f>D5/2</f>
        <v>4.9637499999999992</v>
      </c>
      <c r="E19" s="16">
        <f>E5/2</f>
        <v>5.86625</v>
      </c>
      <c r="F19" s="16">
        <f>F5/2</f>
        <v>6.7687499999999998</v>
      </c>
      <c r="G19" s="16">
        <f>G5/2</f>
        <v>8.5737500000000004</v>
      </c>
      <c r="H19" s="16">
        <f>H5/2</f>
        <v>10.378749999999998</v>
      </c>
      <c r="I19" s="14"/>
      <c r="J19" s="14"/>
      <c r="K19" s="14">
        <f t="shared" si="17"/>
        <v>4.3389423076923075E-2</v>
      </c>
      <c r="L19" s="14">
        <f t="shared" si="18"/>
        <v>9.5456730769230752E-2</v>
      </c>
      <c r="M19" s="14">
        <f t="shared" si="19"/>
        <v>0.13016826923076924</v>
      </c>
      <c r="N19" s="14">
        <f t="shared" si="20"/>
        <v>0.1128125</v>
      </c>
      <c r="O19" s="14">
        <f t="shared" si="21"/>
        <v>0.1648798076923077</v>
      </c>
      <c r="P19" s="14">
        <f t="shared" si="22"/>
        <v>0.1648798076923077</v>
      </c>
      <c r="Q19" s="14">
        <f t="shared" si="22"/>
        <v>0.19959134615384613</v>
      </c>
      <c r="R19" s="14"/>
    </row>
    <row r="20" spans="1:18" x14ac:dyDescent="0.4">
      <c r="A20" s="2">
        <v>56</v>
      </c>
      <c r="B20" s="16">
        <f>B6/2</f>
        <v>2.375</v>
      </c>
      <c r="C20" s="16">
        <f>C6/2</f>
        <v>3.8</v>
      </c>
      <c r="D20" s="16">
        <f>D6/2</f>
        <v>5.2249999999999996</v>
      </c>
      <c r="E20" s="16">
        <f>E6/2</f>
        <v>6.1749999999999998</v>
      </c>
      <c r="F20" s="16">
        <f>F6/2</f>
        <v>7.125</v>
      </c>
      <c r="G20" s="16">
        <f>G6/2</f>
        <v>9.0250000000000004</v>
      </c>
      <c r="H20" s="16">
        <f>H6/2</f>
        <v>10.924999999999999</v>
      </c>
      <c r="I20" s="14"/>
      <c r="J20" s="14"/>
      <c r="K20" s="14">
        <f t="shared" si="17"/>
        <v>4.2410714285714288E-2</v>
      </c>
      <c r="L20" s="14">
        <f t="shared" si="18"/>
        <v>9.3303571428571416E-2</v>
      </c>
      <c r="M20" s="14">
        <f t="shared" si="19"/>
        <v>0.12723214285714285</v>
      </c>
      <c r="N20" s="14">
        <f t="shared" si="20"/>
        <v>0.11026785714285714</v>
      </c>
      <c r="O20" s="14">
        <f t="shared" si="21"/>
        <v>0.1611607142857143</v>
      </c>
      <c r="P20" s="14">
        <f t="shared" si="22"/>
        <v>0.1611607142857143</v>
      </c>
      <c r="Q20" s="14">
        <f t="shared" si="22"/>
        <v>0.19508928571428569</v>
      </c>
      <c r="R20" s="14"/>
    </row>
    <row r="21" spans="1:18" x14ac:dyDescent="0.4">
      <c r="A21" s="2">
        <v>60</v>
      </c>
      <c r="B21" s="16">
        <f>B7/2</f>
        <v>2.5</v>
      </c>
      <c r="C21" s="16">
        <f>C7/2</f>
        <v>4</v>
      </c>
      <c r="D21" s="16">
        <f>D7/2</f>
        <v>5.5</v>
      </c>
      <c r="E21" s="16">
        <f>E7/2</f>
        <v>6.5</v>
      </c>
      <c r="F21" s="16">
        <f>F7/2</f>
        <v>7.5</v>
      </c>
      <c r="G21" s="16">
        <f>G7/2</f>
        <v>9.5</v>
      </c>
      <c r="H21" s="16">
        <f>H7/2</f>
        <v>11.5</v>
      </c>
      <c r="I21" s="14"/>
      <c r="J21" s="14"/>
      <c r="K21" s="14">
        <f t="shared" si="17"/>
        <v>4.1666666666666664E-2</v>
      </c>
      <c r="L21" s="14">
        <f t="shared" si="18"/>
        <v>9.166666666666666E-2</v>
      </c>
      <c r="M21" s="14">
        <f t="shared" si="19"/>
        <v>0.125</v>
      </c>
      <c r="N21" s="14">
        <f t="shared" si="20"/>
        <v>0.10833333333333334</v>
      </c>
      <c r="O21" s="14">
        <f t="shared" si="21"/>
        <v>0.15833333333333333</v>
      </c>
      <c r="P21" s="14">
        <f t="shared" si="22"/>
        <v>0.15833333333333333</v>
      </c>
      <c r="Q21" s="14">
        <f t="shared" si="22"/>
        <v>0.19166666666666668</v>
      </c>
      <c r="R21" s="14"/>
    </row>
    <row r="22" spans="1:18" x14ac:dyDescent="0.4">
      <c r="A22" s="2">
        <v>67</v>
      </c>
      <c r="B22" s="16">
        <f>B8/2</f>
        <v>2.625</v>
      </c>
      <c r="C22" s="16">
        <f>C8/2</f>
        <v>4.2</v>
      </c>
      <c r="D22" s="16">
        <f>D8/2</f>
        <v>5.7750000000000004</v>
      </c>
      <c r="E22" s="16">
        <f>E8/2</f>
        <v>6.8250000000000002</v>
      </c>
      <c r="F22" s="16">
        <f>F8/2</f>
        <v>7.875</v>
      </c>
      <c r="G22" s="16">
        <f>G8/2</f>
        <v>9.9749999999999996</v>
      </c>
      <c r="H22" s="16">
        <f>H8/2</f>
        <v>12.075000000000001</v>
      </c>
      <c r="I22" s="14"/>
      <c r="J22" s="14"/>
      <c r="K22" s="14">
        <f t="shared" si="17"/>
        <v>3.9179104477611942E-2</v>
      </c>
      <c r="L22" s="14">
        <f t="shared" si="18"/>
        <v>8.619402985074627E-2</v>
      </c>
      <c r="M22" s="14">
        <f t="shared" si="19"/>
        <v>0.11753731343283583</v>
      </c>
      <c r="N22" s="14">
        <f t="shared" si="20"/>
        <v>0.10186567164179104</v>
      </c>
      <c r="O22" s="14">
        <f t="shared" si="21"/>
        <v>0.14888059701492537</v>
      </c>
      <c r="P22" s="14">
        <f t="shared" si="22"/>
        <v>0.14888059701492537</v>
      </c>
      <c r="Q22" s="14">
        <f t="shared" si="22"/>
        <v>0.18022388059701494</v>
      </c>
      <c r="R22" s="14"/>
    </row>
    <row r="23" spans="1:18" x14ac:dyDescent="0.4">
      <c r="A23" s="2">
        <v>75</v>
      </c>
      <c r="B23" s="16">
        <f>B9/2</f>
        <v>2.7562500000000001</v>
      </c>
      <c r="C23" s="16">
        <f>C9/2</f>
        <v>4.41</v>
      </c>
      <c r="D23" s="16">
        <f>D9/2</f>
        <v>6.0637500000000006</v>
      </c>
      <c r="E23" s="16">
        <f>E9/2</f>
        <v>7.1662500000000007</v>
      </c>
      <c r="F23" s="16">
        <f>F9/2</f>
        <v>8.2687500000000007</v>
      </c>
      <c r="G23" s="16">
        <f>G9/2</f>
        <v>10.473750000000001</v>
      </c>
      <c r="H23" s="16">
        <f>H9/2</f>
        <v>12.678750000000001</v>
      </c>
      <c r="I23" s="14"/>
      <c r="J23" s="14"/>
      <c r="K23" s="14">
        <f t="shared" si="17"/>
        <v>3.6749999999999998E-2</v>
      </c>
      <c r="L23" s="14">
        <f t="shared" si="18"/>
        <v>8.0850000000000005E-2</v>
      </c>
      <c r="M23" s="14">
        <f t="shared" si="19"/>
        <v>0.11025000000000001</v>
      </c>
      <c r="N23" s="14">
        <f t="shared" si="20"/>
        <v>9.555000000000001E-2</v>
      </c>
      <c r="O23" s="14">
        <f t="shared" si="21"/>
        <v>0.13965000000000002</v>
      </c>
      <c r="P23" s="14">
        <f t="shared" si="22"/>
        <v>0.13965000000000002</v>
      </c>
      <c r="Q23" s="14">
        <f t="shared" si="22"/>
        <v>0.16905000000000001</v>
      </c>
      <c r="R23" s="14"/>
    </row>
    <row r="24" spans="1:18" x14ac:dyDescent="0.4">
      <c r="A24" s="2">
        <v>82</v>
      </c>
      <c r="B24" s="16">
        <f>B10/2</f>
        <v>2.8940625000000004</v>
      </c>
      <c r="C24" s="16">
        <f>C10/2</f>
        <v>4.6305000000000005</v>
      </c>
      <c r="D24" s="16">
        <f>D10/2</f>
        <v>6.3669375000000006</v>
      </c>
      <c r="E24" s="16">
        <f>E10/2</f>
        <v>7.5245625000000009</v>
      </c>
      <c r="F24" s="16">
        <f>F10/2</f>
        <v>8.6821875000000013</v>
      </c>
      <c r="G24" s="16">
        <f>G10/2</f>
        <v>10.997437500000002</v>
      </c>
      <c r="H24" s="16">
        <f>H10/2</f>
        <v>13.312687500000001</v>
      </c>
      <c r="I24" s="14"/>
      <c r="J24" s="14"/>
      <c r="K24" s="14">
        <f t="shared" si="17"/>
        <v>3.5293445121951227E-2</v>
      </c>
      <c r="L24" s="14">
        <f t="shared" si="18"/>
        <v>7.7645579268292686E-2</v>
      </c>
      <c r="M24" s="14">
        <f t="shared" si="19"/>
        <v>0.10588033536585367</v>
      </c>
      <c r="N24" s="14">
        <f t="shared" si="20"/>
        <v>9.1762957317073179E-2</v>
      </c>
      <c r="O24" s="14">
        <f t="shared" si="21"/>
        <v>0.13411509146341466</v>
      </c>
      <c r="P24" s="14">
        <f t="shared" si="22"/>
        <v>0.13411509146341466</v>
      </c>
      <c r="Q24" s="14">
        <f t="shared" si="22"/>
        <v>0.16234984756097562</v>
      </c>
      <c r="R24" s="14"/>
    </row>
    <row r="25" spans="1:18" x14ac:dyDescent="0.4">
      <c r="A25" s="2">
        <v>90</v>
      </c>
      <c r="B25" s="16">
        <f>B11/2</f>
        <v>3.0387656250000004</v>
      </c>
      <c r="C25" s="16">
        <f>C11/2</f>
        <v>4.8620250000000009</v>
      </c>
      <c r="D25" s="16">
        <f>D11/2</f>
        <v>6.6852843750000011</v>
      </c>
      <c r="E25" s="16">
        <f>E11/2</f>
        <v>7.9007906250000017</v>
      </c>
      <c r="F25" s="16">
        <f>F11/2</f>
        <v>9.1162968750000015</v>
      </c>
      <c r="G25" s="16">
        <f>G11/2</f>
        <v>11.547309375000003</v>
      </c>
      <c r="H25" s="16">
        <f>H11/2</f>
        <v>13.978321875000001</v>
      </c>
      <c r="I25" s="14"/>
      <c r="J25" s="14"/>
      <c r="K25" s="14">
        <f t="shared" si="17"/>
        <v>3.3764062500000004E-2</v>
      </c>
      <c r="L25" s="14">
        <f t="shared" si="18"/>
        <v>7.4280937500000005E-2</v>
      </c>
      <c r="M25" s="14">
        <f t="shared" si="19"/>
        <v>0.10129218750000002</v>
      </c>
      <c r="N25" s="14">
        <f t="shared" si="20"/>
        <v>8.7786562500000026E-2</v>
      </c>
      <c r="O25" s="14">
        <f t="shared" si="21"/>
        <v>0.12830343750000003</v>
      </c>
      <c r="P25" s="14">
        <f t="shared" si="22"/>
        <v>0.12830343750000003</v>
      </c>
      <c r="Q25" s="14">
        <f t="shared" si="22"/>
        <v>0.15531468750000002</v>
      </c>
      <c r="R25" s="14"/>
    </row>
    <row r="26" spans="1:18" x14ac:dyDescent="0.4">
      <c r="A26" s="4"/>
      <c r="B26" s="16"/>
      <c r="C26" s="16"/>
      <c r="D26" s="16"/>
      <c r="E26" s="16"/>
      <c r="F26" s="16"/>
      <c r="G26" s="16"/>
      <c r="H26" s="16"/>
      <c r="I26" s="5"/>
      <c r="J26" s="14"/>
      <c r="K26" s="14"/>
      <c r="L26" s="14"/>
      <c r="M26" s="14"/>
      <c r="N26" s="14"/>
      <c r="O26" s="14"/>
      <c r="P26" s="14"/>
      <c r="Q26" s="14"/>
      <c r="R26" s="14"/>
    </row>
    <row r="27" spans="1:18" x14ac:dyDescent="0.4">
      <c r="A27" s="4"/>
      <c r="B27" s="16"/>
      <c r="C27" s="16"/>
      <c r="D27" s="16"/>
      <c r="E27" s="16"/>
      <c r="F27" s="16"/>
      <c r="G27" s="16"/>
      <c r="H27" s="16"/>
      <c r="I27" s="5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4" zoomScaleNormal="94" workbookViewId="0">
      <selection activeCell="J16" sqref="J16"/>
    </sheetView>
  </sheetViews>
  <sheetFormatPr defaultColWidth="8.69921875" defaultRowHeight="17.399999999999999" x14ac:dyDescent="0.4"/>
  <cols>
    <col min="1" max="16384" width="8.69921875" style="14"/>
  </cols>
  <sheetData>
    <row r="1" spans="1:18" ht="25.2" x14ac:dyDescent="0.4">
      <c r="A1" s="25" t="s">
        <v>77</v>
      </c>
      <c r="B1" s="26"/>
      <c r="C1" s="26"/>
      <c r="D1" s="26"/>
      <c r="E1" s="26"/>
      <c r="F1" s="26"/>
      <c r="G1" s="26"/>
      <c r="H1" s="26"/>
      <c r="K1" s="25" t="s">
        <v>78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</row>
    <row r="3" spans="1:18" x14ac:dyDescent="0.4">
      <c r="A3" s="3">
        <v>55</v>
      </c>
      <c r="B3" s="16">
        <f t="shared" ref="B3:B4" si="0">B4*0.95</f>
        <v>3.4294999999999995</v>
      </c>
      <c r="C3" s="16">
        <f t="shared" ref="C3:C4" si="1">C4*0.95</f>
        <v>5.1442499999999987</v>
      </c>
      <c r="D3" s="16">
        <f t="shared" ref="D3:D4" si="2">D4*0.95</f>
        <v>6.8589999999999991</v>
      </c>
      <c r="E3" s="16">
        <f t="shared" ref="E3:E4" si="3">E4*0.95</f>
        <v>8.5737500000000004</v>
      </c>
      <c r="F3" s="16">
        <f t="shared" ref="F3:F4" si="4">F4*0.95</f>
        <v>12.860624999999999</v>
      </c>
      <c r="G3" s="16">
        <f t="shared" ref="G3:G4" si="5">G4*0.95</f>
        <v>17.147500000000001</v>
      </c>
      <c r="H3" s="16">
        <f t="shared" ref="H3:H4" si="6">H4*0.95</f>
        <v>22.29175</v>
      </c>
      <c r="K3" s="14">
        <f t="shared" ref="K3:Q13" si="7">B3/$A3</f>
        <v>6.2354545454545447E-2</v>
      </c>
      <c r="L3" s="14">
        <f t="shared" si="7"/>
        <v>9.353181818181816E-2</v>
      </c>
      <c r="M3" s="14">
        <f t="shared" si="7"/>
        <v>0.12470909090909089</v>
      </c>
      <c r="N3" s="14">
        <f t="shared" si="7"/>
        <v>0.15588636363636366</v>
      </c>
      <c r="O3" s="14">
        <f t="shared" si="7"/>
        <v>0.23382954545454543</v>
      </c>
      <c r="P3" s="14">
        <f t="shared" si="7"/>
        <v>0.31177272727272731</v>
      </c>
      <c r="Q3" s="14">
        <f t="shared" si="7"/>
        <v>0.40530454545454547</v>
      </c>
    </row>
    <row r="4" spans="1:18" x14ac:dyDescent="0.4">
      <c r="A4" s="3">
        <v>60</v>
      </c>
      <c r="B4" s="16">
        <f t="shared" si="0"/>
        <v>3.61</v>
      </c>
      <c r="C4" s="16">
        <f t="shared" si="1"/>
        <v>5.4149999999999991</v>
      </c>
      <c r="D4" s="16">
        <f t="shared" si="2"/>
        <v>7.22</v>
      </c>
      <c r="E4" s="16">
        <f t="shared" si="3"/>
        <v>9.0250000000000004</v>
      </c>
      <c r="F4" s="16">
        <f t="shared" si="4"/>
        <v>13.5375</v>
      </c>
      <c r="G4" s="16">
        <f t="shared" si="5"/>
        <v>18.05</v>
      </c>
      <c r="H4" s="16">
        <f t="shared" si="6"/>
        <v>23.465</v>
      </c>
      <c r="K4" s="14">
        <f t="shared" si="7"/>
        <v>6.0166666666666667E-2</v>
      </c>
      <c r="L4" s="14">
        <f t="shared" si="7"/>
        <v>9.0249999999999983E-2</v>
      </c>
      <c r="M4" s="14">
        <f t="shared" si="7"/>
        <v>0.12033333333333333</v>
      </c>
      <c r="N4" s="14">
        <f t="shared" si="7"/>
        <v>0.15041666666666667</v>
      </c>
      <c r="O4" s="14">
        <f t="shared" si="7"/>
        <v>0.22562499999999999</v>
      </c>
      <c r="P4" s="14">
        <f t="shared" si="7"/>
        <v>0.30083333333333334</v>
      </c>
      <c r="Q4" s="14">
        <f t="shared" si="7"/>
        <v>0.39108333333333334</v>
      </c>
    </row>
    <row r="5" spans="1:18" x14ac:dyDescent="0.4">
      <c r="A5" s="3">
        <v>65</v>
      </c>
      <c r="B5" s="16">
        <f>B6*0.95</f>
        <v>3.8</v>
      </c>
      <c r="C5" s="16">
        <f t="shared" ref="C5:H5" si="8">C6*0.95</f>
        <v>5.6999999999999993</v>
      </c>
      <c r="D5" s="16">
        <f t="shared" si="8"/>
        <v>7.6</v>
      </c>
      <c r="E5" s="16">
        <f t="shared" si="8"/>
        <v>9.5</v>
      </c>
      <c r="F5" s="16">
        <f t="shared" si="8"/>
        <v>14.25</v>
      </c>
      <c r="G5" s="16">
        <f t="shared" si="8"/>
        <v>19</v>
      </c>
      <c r="H5" s="16">
        <f t="shared" si="8"/>
        <v>24.7</v>
      </c>
      <c r="K5" s="14">
        <f t="shared" si="7"/>
        <v>5.8461538461538461E-2</v>
      </c>
      <c r="L5" s="14">
        <f t="shared" si="7"/>
        <v>8.7692307692307681E-2</v>
      </c>
      <c r="M5" s="14">
        <f t="shared" si="7"/>
        <v>0.11692307692307692</v>
      </c>
      <c r="N5" s="14">
        <f t="shared" si="7"/>
        <v>0.14615384615384616</v>
      </c>
      <c r="O5" s="14">
        <f t="shared" si="7"/>
        <v>0.21923076923076923</v>
      </c>
      <c r="P5" s="14">
        <f t="shared" si="7"/>
        <v>0.29230769230769232</v>
      </c>
      <c r="Q5" s="14">
        <f t="shared" si="7"/>
        <v>0.38</v>
      </c>
    </row>
    <row r="6" spans="1:18" x14ac:dyDescent="0.4">
      <c r="A6" s="3">
        <v>70</v>
      </c>
      <c r="B6" s="22">
        <v>4</v>
      </c>
      <c r="C6" s="22">
        <v>6</v>
      </c>
      <c r="D6" s="22">
        <v>8</v>
      </c>
      <c r="E6" s="23">
        <v>10</v>
      </c>
      <c r="F6" s="22">
        <v>15</v>
      </c>
      <c r="G6" s="22">
        <v>20</v>
      </c>
      <c r="H6" s="22">
        <v>26</v>
      </c>
      <c r="K6" s="14">
        <f t="shared" si="7"/>
        <v>5.7142857142857141E-2</v>
      </c>
      <c r="L6" s="14">
        <f t="shared" si="7"/>
        <v>8.5714285714285715E-2</v>
      </c>
      <c r="M6" s="14">
        <f t="shared" si="7"/>
        <v>0.11428571428571428</v>
      </c>
      <c r="N6" s="14">
        <f t="shared" si="7"/>
        <v>0.14285714285714285</v>
      </c>
      <c r="O6" s="14">
        <f t="shared" si="7"/>
        <v>0.21428571428571427</v>
      </c>
      <c r="P6" s="14">
        <f t="shared" si="7"/>
        <v>0.2857142857142857</v>
      </c>
      <c r="Q6" s="14">
        <f t="shared" si="7"/>
        <v>0.37142857142857144</v>
      </c>
    </row>
    <row r="7" spans="1:18" x14ac:dyDescent="0.4">
      <c r="A7" s="3">
        <v>75</v>
      </c>
      <c r="B7" s="18">
        <f>B6*1.05</f>
        <v>4.2</v>
      </c>
      <c r="C7" s="18">
        <f t="shared" ref="C7:G7" si="9">C6*1.05</f>
        <v>6.3000000000000007</v>
      </c>
      <c r="D7" s="18">
        <f t="shared" si="9"/>
        <v>8.4</v>
      </c>
      <c r="E7" s="18">
        <f t="shared" si="9"/>
        <v>10.5</v>
      </c>
      <c r="F7" s="18">
        <f t="shared" si="9"/>
        <v>15.75</v>
      </c>
      <c r="G7" s="18">
        <f t="shared" si="9"/>
        <v>21</v>
      </c>
      <c r="H7" s="18">
        <f>H6*1.05</f>
        <v>27.3</v>
      </c>
      <c r="K7" s="14">
        <f t="shared" si="7"/>
        <v>5.6000000000000001E-2</v>
      </c>
      <c r="L7" s="14">
        <f t="shared" si="7"/>
        <v>8.4000000000000005E-2</v>
      </c>
      <c r="M7" s="14">
        <f t="shared" si="7"/>
        <v>0.112</v>
      </c>
      <c r="N7" s="14">
        <f t="shared" si="7"/>
        <v>0.14000000000000001</v>
      </c>
      <c r="O7" s="14">
        <f t="shared" si="7"/>
        <v>0.21</v>
      </c>
      <c r="P7" s="14">
        <f t="shared" si="7"/>
        <v>0.28000000000000003</v>
      </c>
      <c r="Q7" s="14">
        <f t="shared" si="7"/>
        <v>0.36399999999999999</v>
      </c>
    </row>
    <row r="8" spans="1:18" x14ac:dyDescent="0.4">
      <c r="A8" s="3">
        <v>82</v>
      </c>
      <c r="B8" s="18">
        <f t="shared" ref="B8:B13" si="10">B7*1.05</f>
        <v>4.41</v>
      </c>
      <c r="C8" s="18">
        <f t="shared" ref="C8:C13" si="11">C7*1.05</f>
        <v>6.6150000000000011</v>
      </c>
      <c r="D8" s="18">
        <f t="shared" ref="D8:D13" si="12">D7*1.05</f>
        <v>8.82</v>
      </c>
      <c r="E8" s="18">
        <f t="shared" ref="E8:E13" si="13">E7*1.05</f>
        <v>11.025</v>
      </c>
      <c r="F8" s="18">
        <f t="shared" ref="F8:F13" si="14">F7*1.05</f>
        <v>16.537500000000001</v>
      </c>
      <c r="G8" s="18">
        <f t="shared" ref="G8:G13" si="15">G7*1.05</f>
        <v>22.05</v>
      </c>
      <c r="H8" s="18">
        <f t="shared" ref="H8:H13" si="16">H7*1.05</f>
        <v>28.665000000000003</v>
      </c>
      <c r="K8" s="14">
        <f t="shared" si="7"/>
        <v>5.3780487804878048E-2</v>
      </c>
      <c r="L8" s="14">
        <f t="shared" si="7"/>
        <v>8.0670731707317089E-2</v>
      </c>
      <c r="M8" s="14">
        <f t="shared" si="7"/>
        <v>0.1075609756097561</v>
      </c>
      <c r="N8" s="14">
        <f t="shared" si="7"/>
        <v>0.13445121951219513</v>
      </c>
      <c r="O8" s="14">
        <f t="shared" si="7"/>
        <v>0.2016768292682927</v>
      </c>
      <c r="P8" s="14">
        <f t="shared" si="7"/>
        <v>0.26890243902439026</v>
      </c>
      <c r="Q8" s="14">
        <f t="shared" si="7"/>
        <v>0.34957317073170735</v>
      </c>
    </row>
    <row r="9" spans="1:18" x14ac:dyDescent="0.4">
      <c r="A9" s="3">
        <v>90</v>
      </c>
      <c r="B9" s="18">
        <f t="shared" si="10"/>
        <v>4.6305000000000005</v>
      </c>
      <c r="C9" s="18">
        <f t="shared" si="11"/>
        <v>6.9457500000000012</v>
      </c>
      <c r="D9" s="18">
        <f t="shared" si="12"/>
        <v>9.261000000000001</v>
      </c>
      <c r="E9" s="18">
        <f t="shared" si="13"/>
        <v>11.576250000000002</v>
      </c>
      <c r="F9" s="18">
        <f t="shared" si="14"/>
        <v>17.364375000000003</v>
      </c>
      <c r="G9" s="18">
        <f t="shared" si="15"/>
        <v>23.152500000000003</v>
      </c>
      <c r="H9" s="18">
        <f t="shared" si="16"/>
        <v>30.098250000000004</v>
      </c>
      <c r="K9" s="14">
        <f t="shared" si="7"/>
        <v>5.1450000000000003E-2</v>
      </c>
      <c r="L9" s="14">
        <f t="shared" si="7"/>
        <v>7.7175000000000007E-2</v>
      </c>
      <c r="M9" s="14">
        <f t="shared" si="7"/>
        <v>0.10290000000000001</v>
      </c>
      <c r="N9" s="14">
        <f t="shared" si="7"/>
        <v>0.12862500000000002</v>
      </c>
      <c r="O9" s="14">
        <f t="shared" si="7"/>
        <v>0.19293750000000004</v>
      </c>
      <c r="P9" s="14">
        <f t="shared" si="7"/>
        <v>0.25725000000000003</v>
      </c>
      <c r="Q9" s="14">
        <f t="shared" si="7"/>
        <v>0.33442500000000003</v>
      </c>
    </row>
    <row r="10" spans="1:18" x14ac:dyDescent="0.4">
      <c r="A10" s="3">
        <v>100</v>
      </c>
      <c r="B10" s="18">
        <f t="shared" si="10"/>
        <v>4.8620250000000009</v>
      </c>
      <c r="C10" s="18">
        <f t="shared" si="11"/>
        <v>7.2930375000000014</v>
      </c>
      <c r="D10" s="18">
        <f t="shared" si="12"/>
        <v>9.7240500000000019</v>
      </c>
      <c r="E10" s="18">
        <f t="shared" si="13"/>
        <v>12.155062500000001</v>
      </c>
      <c r="F10" s="18">
        <f t="shared" si="14"/>
        <v>18.232593750000003</v>
      </c>
      <c r="G10" s="18">
        <f t="shared" si="15"/>
        <v>24.310125000000003</v>
      </c>
      <c r="H10" s="18">
        <f t="shared" si="16"/>
        <v>31.603162500000007</v>
      </c>
      <c r="K10" s="14">
        <f t="shared" si="7"/>
        <v>4.8620250000000011E-2</v>
      </c>
      <c r="L10" s="14">
        <f t="shared" si="7"/>
        <v>7.2930375000000019E-2</v>
      </c>
      <c r="M10" s="14">
        <f t="shared" si="7"/>
        <v>9.7240500000000021E-2</v>
      </c>
      <c r="N10" s="14">
        <f t="shared" si="7"/>
        <v>0.12155062500000001</v>
      </c>
      <c r="O10" s="14">
        <f t="shared" si="7"/>
        <v>0.18232593750000003</v>
      </c>
      <c r="P10" s="14">
        <f t="shared" si="7"/>
        <v>0.24310125000000002</v>
      </c>
      <c r="Q10" s="14">
        <f t="shared" si="7"/>
        <v>0.31603162500000009</v>
      </c>
    </row>
    <row r="11" spans="1:18" x14ac:dyDescent="0.4">
      <c r="A11" s="3">
        <v>110</v>
      </c>
      <c r="B11" s="18">
        <f t="shared" si="10"/>
        <v>5.1051262500000014</v>
      </c>
      <c r="C11" s="18">
        <f t="shared" si="11"/>
        <v>7.6576893750000021</v>
      </c>
      <c r="D11" s="18">
        <f t="shared" si="12"/>
        <v>10.210252500000003</v>
      </c>
      <c r="E11" s="18">
        <f t="shared" si="13"/>
        <v>12.762815625000002</v>
      </c>
      <c r="F11" s="18">
        <f t="shared" si="14"/>
        <v>19.144223437500003</v>
      </c>
      <c r="G11" s="18">
        <f t="shared" si="15"/>
        <v>25.525631250000004</v>
      </c>
      <c r="H11" s="18">
        <f t="shared" si="16"/>
        <v>33.183320625000007</v>
      </c>
      <c r="K11" s="14">
        <f t="shared" si="7"/>
        <v>4.6410238636363649E-2</v>
      </c>
      <c r="L11" s="14">
        <f t="shared" si="7"/>
        <v>6.9615357954545473E-2</v>
      </c>
      <c r="M11" s="14">
        <f t="shared" si="7"/>
        <v>9.2820477272727298E-2</v>
      </c>
      <c r="N11" s="14">
        <f t="shared" si="7"/>
        <v>0.11602559659090911</v>
      </c>
      <c r="O11" s="14">
        <f t="shared" si="7"/>
        <v>0.17403839488636366</v>
      </c>
      <c r="P11" s="14">
        <f t="shared" si="7"/>
        <v>0.23205119318181822</v>
      </c>
      <c r="Q11" s="14">
        <f t="shared" si="7"/>
        <v>0.3016665511363637</v>
      </c>
    </row>
    <row r="12" spans="1:18" x14ac:dyDescent="0.4">
      <c r="A12" s="3">
        <v>120</v>
      </c>
      <c r="B12" s="18">
        <f t="shared" si="10"/>
        <v>5.3603825625000017</v>
      </c>
      <c r="C12" s="18">
        <f t="shared" si="11"/>
        <v>8.0405738437500034</v>
      </c>
      <c r="D12" s="18">
        <f t="shared" si="12"/>
        <v>10.720765125000003</v>
      </c>
      <c r="E12" s="18">
        <f t="shared" si="13"/>
        <v>13.400956406250003</v>
      </c>
      <c r="F12" s="18">
        <f t="shared" si="14"/>
        <v>20.101434609375005</v>
      </c>
      <c r="G12" s="18">
        <f t="shared" si="15"/>
        <v>26.801912812500007</v>
      </c>
      <c r="H12" s="18">
        <f t="shared" si="16"/>
        <v>34.84248665625001</v>
      </c>
      <c r="K12" s="14">
        <f t="shared" si="7"/>
        <v>4.4669854687500017E-2</v>
      </c>
      <c r="L12" s="14">
        <f t="shared" si="7"/>
        <v>6.7004782031250029E-2</v>
      </c>
      <c r="M12" s="14">
        <f t="shared" si="7"/>
        <v>8.9339709375000034E-2</v>
      </c>
      <c r="N12" s="14">
        <f t="shared" si="7"/>
        <v>0.11167463671875003</v>
      </c>
      <c r="O12" s="14">
        <f t="shared" si="7"/>
        <v>0.16751195507812505</v>
      </c>
      <c r="P12" s="14">
        <f t="shared" si="7"/>
        <v>0.22334927343750005</v>
      </c>
      <c r="Q12" s="14">
        <f t="shared" si="7"/>
        <v>0.29035405546875009</v>
      </c>
    </row>
    <row r="13" spans="1:18" x14ac:dyDescent="0.4">
      <c r="A13" s="3">
        <v>130</v>
      </c>
      <c r="B13" s="18">
        <f t="shared" si="10"/>
        <v>5.6284016906250018</v>
      </c>
      <c r="C13" s="18">
        <f t="shared" si="11"/>
        <v>8.4426025359375032</v>
      </c>
      <c r="D13" s="18">
        <f t="shared" si="12"/>
        <v>11.256803381250004</v>
      </c>
      <c r="E13" s="18">
        <f t="shared" si="13"/>
        <v>14.071004226562504</v>
      </c>
      <c r="F13" s="18">
        <f t="shared" si="14"/>
        <v>21.106506339843754</v>
      </c>
      <c r="G13" s="18">
        <f t="shared" si="15"/>
        <v>28.142008453125008</v>
      </c>
      <c r="H13" s="18">
        <f t="shared" si="16"/>
        <v>36.584610989062512</v>
      </c>
      <c r="K13" s="14">
        <f t="shared" si="7"/>
        <v>4.329539762019232E-2</v>
      </c>
      <c r="L13" s="14">
        <f t="shared" si="7"/>
        <v>6.4943096430288491E-2</v>
      </c>
      <c r="M13" s="14">
        <f t="shared" si="7"/>
        <v>8.6590795240384641E-2</v>
      </c>
      <c r="N13" s="14">
        <f t="shared" si="7"/>
        <v>0.1082384940504808</v>
      </c>
      <c r="O13" s="14">
        <f t="shared" si="7"/>
        <v>0.16235774107572118</v>
      </c>
      <c r="P13" s="14">
        <f t="shared" si="7"/>
        <v>0.21647698810096161</v>
      </c>
      <c r="Q13" s="14">
        <f t="shared" si="7"/>
        <v>0.28142008453125011</v>
      </c>
    </row>
    <row r="15" spans="1:18" ht="27.6" x14ac:dyDescent="0.4">
      <c r="A15" s="25" t="s">
        <v>79</v>
      </c>
      <c r="B15" s="26"/>
      <c r="C15" s="26"/>
      <c r="D15" s="26"/>
      <c r="E15" s="26"/>
      <c r="F15" s="26"/>
      <c r="G15" s="26"/>
      <c r="H15" s="26"/>
      <c r="K15" s="27" t="s">
        <v>80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</row>
    <row r="17" spans="1:17" x14ac:dyDescent="0.4">
      <c r="A17" s="2">
        <v>44</v>
      </c>
      <c r="B17" s="16">
        <f>B3/2</f>
        <v>1.7147499999999998</v>
      </c>
      <c r="C17" s="16">
        <f>C3/2</f>
        <v>2.5721249999999993</v>
      </c>
      <c r="D17" s="16">
        <f>D3/2</f>
        <v>3.4294999999999995</v>
      </c>
      <c r="E17" s="16">
        <f>E3/2</f>
        <v>4.2868750000000002</v>
      </c>
      <c r="F17" s="16">
        <f>F3/2</f>
        <v>6.4303124999999994</v>
      </c>
      <c r="G17" s="16">
        <f>G3/2</f>
        <v>8.5737500000000004</v>
      </c>
      <c r="H17" s="16">
        <f>H3/2</f>
        <v>11.145875</v>
      </c>
      <c r="K17" s="14">
        <f>B17/$A17</f>
        <v>3.8971590909090907E-2</v>
      </c>
      <c r="L17" s="14">
        <f>D17/$A17</f>
        <v>7.7943181818181814E-2</v>
      </c>
      <c r="M17" s="14">
        <f>F17/$A17</f>
        <v>0.14614346590909089</v>
      </c>
      <c r="N17" s="14">
        <f>E17/$A17</f>
        <v>9.7428977272727271E-2</v>
      </c>
      <c r="O17" s="14">
        <f>G17/$A17</f>
        <v>0.19485795454545454</v>
      </c>
      <c r="P17" s="14">
        <f>G17/$A17</f>
        <v>0.19485795454545454</v>
      </c>
      <c r="Q17" s="14">
        <f>H17/$A17</f>
        <v>0.25331534090909091</v>
      </c>
    </row>
    <row r="18" spans="1:17" x14ac:dyDescent="0.4">
      <c r="A18" s="2">
        <v>48</v>
      </c>
      <c r="B18" s="16">
        <f>B4/2</f>
        <v>1.8049999999999999</v>
      </c>
      <c r="C18" s="16">
        <f>C4/2</f>
        <v>2.7074999999999996</v>
      </c>
      <c r="D18" s="16">
        <f>D4/2</f>
        <v>3.61</v>
      </c>
      <c r="E18" s="16">
        <f>E4/2</f>
        <v>4.5125000000000002</v>
      </c>
      <c r="F18" s="16">
        <f>F4/2</f>
        <v>6.7687499999999998</v>
      </c>
      <c r="G18" s="16">
        <f>G4/2</f>
        <v>9.0250000000000004</v>
      </c>
      <c r="H18" s="16">
        <f>H4/2</f>
        <v>11.7325</v>
      </c>
      <c r="K18" s="14">
        <f t="shared" ref="K18:K25" si="17">B18/$A18</f>
        <v>3.7604166666666668E-2</v>
      </c>
      <c r="L18" s="14">
        <f t="shared" ref="L18:L25" si="18">D18/$A18</f>
        <v>7.5208333333333335E-2</v>
      </c>
      <c r="M18" s="14">
        <f t="shared" ref="M18:M25" si="19">F18/$A18</f>
        <v>0.14101562500000001</v>
      </c>
      <c r="N18" s="14">
        <f t="shared" ref="N18:N25" si="20">E18/$A18</f>
        <v>9.4010416666666666E-2</v>
      </c>
      <c r="O18" s="14">
        <f t="shared" ref="O18:O25" si="21">G18/$A18</f>
        <v>0.18802083333333333</v>
      </c>
      <c r="P18" s="14">
        <f t="shared" ref="P18:Q25" si="22">G18/$A18</f>
        <v>0.18802083333333333</v>
      </c>
      <c r="Q18" s="14">
        <f t="shared" si="22"/>
        <v>0.24442708333333332</v>
      </c>
    </row>
    <row r="19" spans="1:17" x14ac:dyDescent="0.4">
      <c r="A19" s="2">
        <v>52</v>
      </c>
      <c r="B19" s="16">
        <f>B5/2</f>
        <v>1.9</v>
      </c>
      <c r="C19" s="16">
        <f>C5/2</f>
        <v>2.8499999999999996</v>
      </c>
      <c r="D19" s="16">
        <f>D5/2</f>
        <v>3.8</v>
      </c>
      <c r="E19" s="16">
        <f>E5/2</f>
        <v>4.75</v>
      </c>
      <c r="F19" s="16">
        <f>F5/2</f>
        <v>7.125</v>
      </c>
      <c r="G19" s="16">
        <f>G5/2</f>
        <v>9.5</v>
      </c>
      <c r="H19" s="16">
        <f>H5/2</f>
        <v>12.35</v>
      </c>
      <c r="K19" s="14">
        <f t="shared" si="17"/>
        <v>3.6538461538461534E-2</v>
      </c>
      <c r="L19" s="14">
        <f t="shared" si="18"/>
        <v>7.3076923076923067E-2</v>
      </c>
      <c r="M19" s="14">
        <f t="shared" si="19"/>
        <v>0.13701923076923078</v>
      </c>
      <c r="N19" s="14">
        <f t="shared" si="20"/>
        <v>9.1346153846153841E-2</v>
      </c>
      <c r="O19" s="14">
        <f t="shared" si="21"/>
        <v>0.18269230769230768</v>
      </c>
      <c r="P19" s="14">
        <f t="shared" si="22"/>
        <v>0.18269230769230768</v>
      </c>
      <c r="Q19" s="14">
        <f t="shared" si="22"/>
        <v>0.23749999999999999</v>
      </c>
    </row>
    <row r="20" spans="1:17" x14ac:dyDescent="0.4">
      <c r="A20" s="2">
        <v>56</v>
      </c>
      <c r="B20" s="16">
        <f>B6/2</f>
        <v>2</v>
      </c>
      <c r="C20" s="16">
        <f>C6/2</f>
        <v>3</v>
      </c>
      <c r="D20" s="16">
        <f>D6/2</f>
        <v>4</v>
      </c>
      <c r="E20" s="16">
        <f>E6/2</f>
        <v>5</v>
      </c>
      <c r="F20" s="16">
        <f>F6/2</f>
        <v>7.5</v>
      </c>
      <c r="G20" s="16">
        <f>G6/2</f>
        <v>10</v>
      </c>
      <c r="H20" s="16">
        <f>H6/2</f>
        <v>13</v>
      </c>
      <c r="K20" s="14">
        <f t="shared" si="17"/>
        <v>3.5714285714285712E-2</v>
      </c>
      <c r="L20" s="14">
        <f t="shared" si="18"/>
        <v>7.1428571428571425E-2</v>
      </c>
      <c r="M20" s="14">
        <f t="shared" si="19"/>
        <v>0.13392857142857142</v>
      </c>
      <c r="N20" s="14">
        <f t="shared" si="20"/>
        <v>8.9285714285714288E-2</v>
      </c>
      <c r="O20" s="14">
        <f t="shared" si="21"/>
        <v>0.17857142857142858</v>
      </c>
      <c r="P20" s="14">
        <f t="shared" si="22"/>
        <v>0.17857142857142858</v>
      </c>
      <c r="Q20" s="14">
        <f t="shared" si="22"/>
        <v>0.23214285714285715</v>
      </c>
    </row>
    <row r="21" spans="1:17" x14ac:dyDescent="0.4">
      <c r="A21" s="2">
        <v>60</v>
      </c>
      <c r="B21" s="16">
        <f>B7/2</f>
        <v>2.1</v>
      </c>
      <c r="C21" s="16">
        <f>C7/2</f>
        <v>3.1500000000000004</v>
      </c>
      <c r="D21" s="16">
        <f>D7/2</f>
        <v>4.2</v>
      </c>
      <c r="E21" s="16">
        <f>E7/2</f>
        <v>5.25</v>
      </c>
      <c r="F21" s="16">
        <f>F7/2</f>
        <v>7.875</v>
      </c>
      <c r="G21" s="16">
        <f>G7/2</f>
        <v>10.5</v>
      </c>
      <c r="H21" s="16">
        <f>H7/2</f>
        <v>13.65</v>
      </c>
      <c r="K21" s="14">
        <f t="shared" si="17"/>
        <v>3.5000000000000003E-2</v>
      </c>
      <c r="L21" s="14">
        <f t="shared" si="18"/>
        <v>7.0000000000000007E-2</v>
      </c>
      <c r="M21" s="14">
        <f t="shared" si="19"/>
        <v>0.13125000000000001</v>
      </c>
      <c r="N21" s="14">
        <f t="shared" si="20"/>
        <v>8.7499999999999994E-2</v>
      </c>
      <c r="O21" s="14">
        <f t="shared" si="21"/>
        <v>0.17499999999999999</v>
      </c>
      <c r="P21" s="14">
        <f t="shared" si="22"/>
        <v>0.17499999999999999</v>
      </c>
      <c r="Q21" s="14">
        <f t="shared" si="22"/>
        <v>0.22750000000000001</v>
      </c>
    </row>
    <row r="22" spans="1:17" x14ac:dyDescent="0.4">
      <c r="A22" s="2">
        <v>67</v>
      </c>
      <c r="B22" s="16">
        <f>B8/2</f>
        <v>2.2050000000000001</v>
      </c>
      <c r="C22" s="16">
        <f>C8/2</f>
        <v>3.3075000000000006</v>
      </c>
      <c r="D22" s="16">
        <f>D8/2</f>
        <v>4.41</v>
      </c>
      <c r="E22" s="16">
        <f>E8/2</f>
        <v>5.5125000000000002</v>
      </c>
      <c r="F22" s="16">
        <f>F8/2</f>
        <v>8.2687500000000007</v>
      </c>
      <c r="G22" s="16">
        <f>G8/2</f>
        <v>11.025</v>
      </c>
      <c r="H22" s="16">
        <f>H8/2</f>
        <v>14.332500000000001</v>
      </c>
      <c r="K22" s="14">
        <f t="shared" si="17"/>
        <v>3.2910447761194034E-2</v>
      </c>
      <c r="L22" s="14">
        <f t="shared" si="18"/>
        <v>6.5820895522388068E-2</v>
      </c>
      <c r="M22" s="14">
        <f t="shared" si="19"/>
        <v>0.12341417910447762</v>
      </c>
      <c r="N22" s="14">
        <f t="shared" si="20"/>
        <v>8.2276119402985071E-2</v>
      </c>
      <c r="O22" s="14">
        <f t="shared" si="21"/>
        <v>0.16455223880597014</v>
      </c>
      <c r="P22" s="14">
        <f t="shared" si="22"/>
        <v>0.16455223880597014</v>
      </c>
      <c r="Q22" s="14">
        <f t="shared" si="22"/>
        <v>0.21391791044776121</v>
      </c>
    </row>
    <row r="23" spans="1:17" x14ac:dyDescent="0.4">
      <c r="A23" s="2">
        <v>75</v>
      </c>
      <c r="B23" s="16">
        <f>B9/2</f>
        <v>2.3152500000000003</v>
      </c>
      <c r="C23" s="16">
        <f>C9/2</f>
        <v>3.4728750000000006</v>
      </c>
      <c r="D23" s="16">
        <f>D9/2</f>
        <v>4.6305000000000005</v>
      </c>
      <c r="E23" s="16">
        <f>E9/2</f>
        <v>5.7881250000000009</v>
      </c>
      <c r="F23" s="16">
        <f>F9/2</f>
        <v>8.6821875000000013</v>
      </c>
      <c r="G23" s="16">
        <f>G9/2</f>
        <v>11.576250000000002</v>
      </c>
      <c r="H23" s="16">
        <f>H9/2</f>
        <v>15.049125000000002</v>
      </c>
      <c r="K23" s="14">
        <f t="shared" si="17"/>
        <v>3.0870000000000005E-2</v>
      </c>
      <c r="L23" s="14">
        <f t="shared" si="18"/>
        <v>6.174000000000001E-2</v>
      </c>
      <c r="M23" s="14">
        <f t="shared" si="19"/>
        <v>0.11576250000000002</v>
      </c>
      <c r="N23" s="14">
        <f t="shared" si="20"/>
        <v>7.7175000000000007E-2</v>
      </c>
      <c r="O23" s="14">
        <f t="shared" si="21"/>
        <v>0.15435000000000001</v>
      </c>
      <c r="P23" s="14">
        <f t="shared" si="22"/>
        <v>0.15435000000000001</v>
      </c>
      <c r="Q23" s="14">
        <f t="shared" si="22"/>
        <v>0.20065500000000003</v>
      </c>
    </row>
    <row r="24" spans="1:17" x14ac:dyDescent="0.4">
      <c r="A24" s="2">
        <v>82</v>
      </c>
      <c r="B24" s="16">
        <f>B10/2</f>
        <v>2.4310125000000005</v>
      </c>
      <c r="C24" s="16">
        <f>C10/2</f>
        <v>3.6465187500000007</v>
      </c>
      <c r="D24" s="16">
        <f>D10/2</f>
        <v>4.8620250000000009</v>
      </c>
      <c r="E24" s="16">
        <f>E10/2</f>
        <v>6.0775312500000007</v>
      </c>
      <c r="F24" s="16">
        <f>F10/2</f>
        <v>9.1162968750000015</v>
      </c>
      <c r="G24" s="16">
        <f>G10/2</f>
        <v>12.155062500000001</v>
      </c>
      <c r="H24" s="16">
        <f>H10/2</f>
        <v>15.801581250000003</v>
      </c>
      <c r="K24" s="14">
        <f t="shared" si="17"/>
        <v>2.9646493902439029E-2</v>
      </c>
      <c r="L24" s="14">
        <f t="shared" si="18"/>
        <v>5.9292987804878058E-2</v>
      </c>
      <c r="M24" s="14">
        <f t="shared" si="19"/>
        <v>0.11117435213414636</v>
      </c>
      <c r="N24" s="14">
        <f t="shared" si="20"/>
        <v>7.4116234756097576E-2</v>
      </c>
      <c r="O24" s="14">
        <f t="shared" si="21"/>
        <v>0.14823246951219515</v>
      </c>
      <c r="P24" s="14">
        <f t="shared" si="22"/>
        <v>0.14823246951219515</v>
      </c>
      <c r="Q24" s="14">
        <f t="shared" si="22"/>
        <v>0.19270221036585369</v>
      </c>
    </row>
    <row r="25" spans="1:17" x14ac:dyDescent="0.4">
      <c r="A25" s="2">
        <v>90</v>
      </c>
      <c r="B25" s="16">
        <f>B11/2</f>
        <v>2.5525631250000007</v>
      </c>
      <c r="C25" s="16">
        <f>C11/2</f>
        <v>3.8288446875000011</v>
      </c>
      <c r="D25" s="16">
        <f>D11/2</f>
        <v>5.1051262500000014</v>
      </c>
      <c r="E25" s="16">
        <f>E11/2</f>
        <v>6.3814078125000009</v>
      </c>
      <c r="F25" s="16">
        <f>F11/2</f>
        <v>9.5721117187500013</v>
      </c>
      <c r="G25" s="16">
        <f>G11/2</f>
        <v>12.762815625000002</v>
      </c>
      <c r="H25" s="16">
        <f>H11/2</f>
        <v>16.591660312500004</v>
      </c>
      <c r="K25" s="14">
        <f t="shared" si="17"/>
        <v>2.8361812500000007E-2</v>
      </c>
      <c r="L25" s="14">
        <f t="shared" si="18"/>
        <v>5.6723625000000014E-2</v>
      </c>
      <c r="M25" s="14">
        <f t="shared" si="19"/>
        <v>0.10635679687500002</v>
      </c>
      <c r="N25" s="14">
        <f t="shared" si="20"/>
        <v>7.0904531250000014E-2</v>
      </c>
      <c r="O25" s="14">
        <f t="shared" si="21"/>
        <v>0.14180906250000003</v>
      </c>
      <c r="P25" s="14">
        <f t="shared" si="22"/>
        <v>0.14180906250000003</v>
      </c>
      <c r="Q25" s="14">
        <f t="shared" si="22"/>
        <v>0.18435178125000004</v>
      </c>
    </row>
    <row r="26" spans="1:17" x14ac:dyDescent="0.4">
      <c r="A26" s="4"/>
      <c r="B26" s="16"/>
      <c r="C26" s="16"/>
      <c r="D26" s="16"/>
      <c r="E26" s="16"/>
      <c r="F26" s="16"/>
      <c r="G26" s="16"/>
      <c r="H26" s="16"/>
      <c r="I26" s="5"/>
    </row>
    <row r="27" spans="1:17" x14ac:dyDescent="0.4">
      <c r="A27" s="4"/>
      <c r="B27" s="16"/>
      <c r="C27" s="16"/>
      <c r="D27" s="16"/>
      <c r="E27" s="16"/>
      <c r="F27" s="16"/>
      <c r="G27" s="16"/>
      <c r="H27" s="16"/>
      <c r="I27" s="5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zoomScale="94" zoomScaleNormal="94" workbookViewId="0">
      <selection activeCell="J15" sqref="J15"/>
    </sheetView>
  </sheetViews>
  <sheetFormatPr defaultColWidth="8.69921875" defaultRowHeight="17.399999999999999" x14ac:dyDescent="0.4"/>
  <cols>
    <col min="1" max="16384" width="8.69921875" style="14"/>
  </cols>
  <sheetData>
    <row r="1" spans="1:18" ht="25.2" x14ac:dyDescent="0.4">
      <c r="A1" s="25" t="s">
        <v>85</v>
      </c>
      <c r="B1" s="26"/>
      <c r="C1" s="26"/>
      <c r="D1" s="26"/>
      <c r="E1" s="26"/>
      <c r="F1" s="26"/>
      <c r="G1" s="26"/>
      <c r="H1" s="26"/>
      <c r="K1" s="25" t="s">
        <v>86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</row>
    <row r="3" spans="1:18" x14ac:dyDescent="0.4">
      <c r="A3" s="3">
        <v>55</v>
      </c>
      <c r="B3" s="16">
        <f t="shared" ref="B3:B4" si="0">B4*0.95</f>
        <v>17.147500000000001</v>
      </c>
      <c r="C3" s="16">
        <f t="shared" ref="C3:C4" si="1">C4*0.95</f>
        <v>27.435999999999996</v>
      </c>
      <c r="D3" s="16">
        <f t="shared" ref="D3:D4" si="2">D4*0.95</f>
        <v>37.724499999999992</v>
      </c>
      <c r="E3" s="16">
        <f t="shared" ref="E3:E4" si="3">E4*0.95</f>
        <v>48.012999999999991</v>
      </c>
      <c r="F3" s="16">
        <f t="shared" ref="F3:F4" si="4">F4*0.95</f>
        <v>58.30149999999999</v>
      </c>
      <c r="G3" s="16">
        <f t="shared" ref="G3:G4" si="5">G4*0.95</f>
        <v>68.59</v>
      </c>
      <c r="H3" s="16">
        <f t="shared" ref="H3:H4" si="6">H4*0.95</f>
        <v>78.878499999999988</v>
      </c>
      <c r="K3" s="14">
        <f t="shared" ref="K3:K13" si="7">B3/$A3</f>
        <v>0.31177272727272731</v>
      </c>
      <c r="L3" s="14">
        <f t="shared" ref="L3:L13" si="8">C3/$A3</f>
        <v>0.49883636363636358</v>
      </c>
      <c r="M3" s="14">
        <f t="shared" ref="M3:M13" si="9">D3/$A3</f>
        <v>0.68589999999999984</v>
      </c>
      <c r="N3" s="14">
        <f t="shared" ref="N3:N13" si="10">E3/$A3</f>
        <v>0.87296363636363616</v>
      </c>
      <c r="O3" s="14">
        <f t="shared" ref="O3:O13" si="11">F3/$A3</f>
        <v>1.0600272727272726</v>
      </c>
      <c r="P3" s="14">
        <f t="shared" ref="P3:P13" si="12">G3/$A3</f>
        <v>1.2470909090909092</v>
      </c>
      <c r="Q3" s="14">
        <f t="shared" ref="Q3:Q13" si="13">H3/$A3</f>
        <v>1.4341545454545452</v>
      </c>
    </row>
    <row r="4" spans="1:18" x14ac:dyDescent="0.4">
      <c r="A4" s="3">
        <v>60</v>
      </c>
      <c r="B4" s="16">
        <f t="shared" si="0"/>
        <v>18.05</v>
      </c>
      <c r="C4" s="16">
        <f t="shared" si="1"/>
        <v>28.88</v>
      </c>
      <c r="D4" s="16">
        <f t="shared" si="2"/>
        <v>39.709999999999994</v>
      </c>
      <c r="E4" s="16">
        <f t="shared" si="3"/>
        <v>50.539999999999992</v>
      </c>
      <c r="F4" s="16">
        <f t="shared" si="4"/>
        <v>61.36999999999999</v>
      </c>
      <c r="G4" s="16">
        <f t="shared" si="5"/>
        <v>72.2</v>
      </c>
      <c r="H4" s="16">
        <f t="shared" si="6"/>
        <v>83.029999999999987</v>
      </c>
      <c r="K4" s="14">
        <f t="shared" si="7"/>
        <v>0.30083333333333334</v>
      </c>
      <c r="L4" s="14">
        <f t="shared" si="8"/>
        <v>0.48133333333333334</v>
      </c>
      <c r="M4" s="14">
        <f t="shared" si="9"/>
        <v>0.66183333333333327</v>
      </c>
      <c r="N4" s="14">
        <f t="shared" si="10"/>
        <v>0.84233333333333316</v>
      </c>
      <c r="O4" s="14">
        <f t="shared" si="11"/>
        <v>1.0228333333333333</v>
      </c>
      <c r="P4" s="14">
        <f t="shared" si="12"/>
        <v>1.2033333333333334</v>
      </c>
      <c r="Q4" s="14">
        <f t="shared" si="13"/>
        <v>1.383833333333333</v>
      </c>
    </row>
    <row r="5" spans="1:18" x14ac:dyDescent="0.4">
      <c r="A5" s="3">
        <v>65</v>
      </c>
      <c r="B5" s="16">
        <f>B6*0.95</f>
        <v>19</v>
      </c>
      <c r="C5" s="16">
        <f t="shared" ref="C5:H5" si="14">C6*0.95</f>
        <v>30.4</v>
      </c>
      <c r="D5" s="16">
        <f t="shared" si="14"/>
        <v>41.8</v>
      </c>
      <c r="E5" s="16">
        <f t="shared" si="14"/>
        <v>53.199999999999996</v>
      </c>
      <c r="F5" s="16">
        <f t="shared" si="14"/>
        <v>64.599999999999994</v>
      </c>
      <c r="G5" s="16">
        <f t="shared" si="14"/>
        <v>76</v>
      </c>
      <c r="H5" s="16">
        <f t="shared" si="14"/>
        <v>87.399999999999991</v>
      </c>
      <c r="K5" s="14">
        <f t="shared" si="7"/>
        <v>0.29230769230769232</v>
      </c>
      <c r="L5" s="14">
        <f t="shared" si="8"/>
        <v>0.46769230769230768</v>
      </c>
      <c r="M5" s="14">
        <f t="shared" si="9"/>
        <v>0.64307692307692299</v>
      </c>
      <c r="N5" s="14">
        <f t="shared" si="10"/>
        <v>0.81846153846153835</v>
      </c>
      <c r="O5" s="14">
        <f t="shared" si="11"/>
        <v>0.99384615384615371</v>
      </c>
      <c r="P5" s="14">
        <f t="shared" si="12"/>
        <v>1.1692307692307693</v>
      </c>
      <c r="Q5" s="14">
        <f t="shared" si="13"/>
        <v>1.3446153846153845</v>
      </c>
    </row>
    <row r="6" spans="1:18" x14ac:dyDescent="0.4">
      <c r="A6" s="3">
        <v>70</v>
      </c>
      <c r="B6" s="23">
        <v>20</v>
      </c>
      <c r="C6" s="22">
        <v>32</v>
      </c>
      <c r="D6" s="22">
        <v>44</v>
      </c>
      <c r="E6" s="22">
        <v>56</v>
      </c>
      <c r="F6" s="22">
        <v>68</v>
      </c>
      <c r="G6" s="22">
        <v>80</v>
      </c>
      <c r="H6" s="22">
        <v>92</v>
      </c>
      <c r="K6" s="14">
        <f t="shared" si="7"/>
        <v>0.2857142857142857</v>
      </c>
      <c r="L6" s="14">
        <f t="shared" si="8"/>
        <v>0.45714285714285713</v>
      </c>
      <c r="M6" s="14">
        <f t="shared" si="9"/>
        <v>0.62857142857142856</v>
      </c>
      <c r="N6" s="14">
        <f t="shared" si="10"/>
        <v>0.8</v>
      </c>
      <c r="O6" s="14">
        <f t="shared" si="11"/>
        <v>0.97142857142857142</v>
      </c>
      <c r="P6" s="14">
        <f t="shared" si="12"/>
        <v>1.1428571428571428</v>
      </c>
      <c r="Q6" s="14">
        <f t="shared" si="13"/>
        <v>1.3142857142857143</v>
      </c>
    </row>
    <row r="7" spans="1:18" x14ac:dyDescent="0.4">
      <c r="A7" s="3">
        <v>75</v>
      </c>
      <c r="B7" s="16">
        <f>B6*1.05</f>
        <v>21</v>
      </c>
      <c r="C7" s="16">
        <f t="shared" ref="C7:H7" si="15">C6*1.05</f>
        <v>33.6</v>
      </c>
      <c r="D7" s="16">
        <f t="shared" si="15"/>
        <v>46.2</v>
      </c>
      <c r="E7" s="16">
        <f t="shared" si="15"/>
        <v>58.800000000000004</v>
      </c>
      <c r="F7" s="16">
        <f t="shared" si="15"/>
        <v>71.400000000000006</v>
      </c>
      <c r="G7" s="16">
        <f t="shared" si="15"/>
        <v>84</v>
      </c>
      <c r="H7" s="16">
        <f t="shared" si="15"/>
        <v>96.600000000000009</v>
      </c>
      <c r="K7" s="14">
        <f t="shared" si="7"/>
        <v>0.28000000000000003</v>
      </c>
      <c r="L7" s="14">
        <f t="shared" si="8"/>
        <v>0.44800000000000001</v>
      </c>
      <c r="M7" s="14">
        <f t="shared" si="9"/>
        <v>0.61599999999999999</v>
      </c>
      <c r="N7" s="14">
        <f t="shared" si="10"/>
        <v>0.78400000000000003</v>
      </c>
      <c r="O7" s="14">
        <f t="shared" si="11"/>
        <v>0.95200000000000007</v>
      </c>
      <c r="P7" s="14">
        <f t="shared" si="12"/>
        <v>1.1200000000000001</v>
      </c>
      <c r="Q7" s="14">
        <f t="shared" si="13"/>
        <v>1.288</v>
      </c>
    </row>
    <row r="8" spans="1:18" x14ac:dyDescent="0.4">
      <c r="A8" s="3">
        <v>82</v>
      </c>
      <c r="B8" s="16">
        <f t="shared" ref="B8:B13" si="16">B7*1.05</f>
        <v>22.05</v>
      </c>
      <c r="C8" s="16">
        <f t="shared" ref="C8:C13" si="17">C7*1.05</f>
        <v>35.28</v>
      </c>
      <c r="D8" s="16">
        <f t="shared" ref="D8:D13" si="18">D7*1.05</f>
        <v>48.510000000000005</v>
      </c>
      <c r="E8" s="16">
        <f t="shared" ref="E8:E13" si="19">E7*1.05</f>
        <v>61.740000000000009</v>
      </c>
      <c r="F8" s="16">
        <f t="shared" ref="F8:F13" si="20">F7*1.05</f>
        <v>74.970000000000013</v>
      </c>
      <c r="G8" s="16">
        <f t="shared" ref="G8:G13" si="21">G7*1.05</f>
        <v>88.2</v>
      </c>
      <c r="H8" s="16">
        <f t="shared" ref="H8:H13" si="22">H7*1.05</f>
        <v>101.43</v>
      </c>
      <c r="K8" s="14">
        <f t="shared" si="7"/>
        <v>0.26890243902439026</v>
      </c>
      <c r="L8" s="14">
        <f t="shared" si="8"/>
        <v>0.43024390243902438</v>
      </c>
      <c r="M8" s="14">
        <f t="shared" si="9"/>
        <v>0.59158536585365862</v>
      </c>
      <c r="N8" s="14">
        <f t="shared" si="10"/>
        <v>0.7529268292682928</v>
      </c>
      <c r="O8" s="14">
        <f t="shared" si="11"/>
        <v>0.91426829268292698</v>
      </c>
      <c r="P8" s="14">
        <f t="shared" si="12"/>
        <v>1.075609756097561</v>
      </c>
      <c r="Q8" s="14">
        <f t="shared" si="13"/>
        <v>1.2369512195121952</v>
      </c>
    </row>
    <row r="9" spans="1:18" x14ac:dyDescent="0.4">
      <c r="A9" s="3">
        <v>90</v>
      </c>
      <c r="B9" s="16">
        <f t="shared" si="16"/>
        <v>23.152500000000003</v>
      </c>
      <c r="C9" s="16">
        <f t="shared" si="17"/>
        <v>37.044000000000004</v>
      </c>
      <c r="D9" s="16">
        <f t="shared" si="18"/>
        <v>50.935500000000005</v>
      </c>
      <c r="E9" s="16">
        <f t="shared" si="19"/>
        <v>64.827000000000012</v>
      </c>
      <c r="F9" s="16">
        <f t="shared" si="20"/>
        <v>78.71850000000002</v>
      </c>
      <c r="G9" s="16">
        <f t="shared" si="21"/>
        <v>92.610000000000014</v>
      </c>
      <c r="H9" s="16">
        <f t="shared" si="22"/>
        <v>106.50150000000001</v>
      </c>
      <c r="K9" s="14">
        <f t="shared" si="7"/>
        <v>0.25725000000000003</v>
      </c>
      <c r="L9" s="14">
        <f t="shared" si="8"/>
        <v>0.41160000000000002</v>
      </c>
      <c r="M9" s="14">
        <f t="shared" si="9"/>
        <v>0.56595000000000006</v>
      </c>
      <c r="N9" s="14">
        <f t="shared" si="10"/>
        <v>0.72030000000000016</v>
      </c>
      <c r="O9" s="14">
        <f t="shared" si="11"/>
        <v>0.87465000000000026</v>
      </c>
      <c r="P9" s="14">
        <f t="shared" si="12"/>
        <v>1.0290000000000001</v>
      </c>
      <c r="Q9" s="14">
        <f t="shared" si="13"/>
        <v>1.1833500000000001</v>
      </c>
    </row>
    <row r="10" spans="1:18" x14ac:dyDescent="0.4">
      <c r="A10" s="3">
        <v>100</v>
      </c>
      <c r="B10" s="16">
        <f t="shared" si="16"/>
        <v>24.310125000000003</v>
      </c>
      <c r="C10" s="16">
        <f t="shared" si="17"/>
        <v>38.896200000000007</v>
      </c>
      <c r="D10" s="16">
        <f t="shared" si="18"/>
        <v>53.482275000000008</v>
      </c>
      <c r="E10" s="16">
        <f t="shared" si="19"/>
        <v>68.068350000000009</v>
      </c>
      <c r="F10" s="16">
        <f t="shared" si="20"/>
        <v>82.654425000000018</v>
      </c>
      <c r="G10" s="16">
        <f t="shared" si="21"/>
        <v>97.240500000000011</v>
      </c>
      <c r="H10" s="16">
        <f t="shared" si="22"/>
        <v>111.82657500000001</v>
      </c>
      <c r="K10" s="14">
        <f t="shared" si="7"/>
        <v>0.24310125000000002</v>
      </c>
      <c r="L10" s="14">
        <f t="shared" si="8"/>
        <v>0.38896200000000009</v>
      </c>
      <c r="M10" s="14">
        <f t="shared" si="9"/>
        <v>0.53482275000000012</v>
      </c>
      <c r="N10" s="14">
        <f t="shared" si="10"/>
        <v>0.68068350000000011</v>
      </c>
      <c r="O10" s="14">
        <f t="shared" si="11"/>
        <v>0.8265442500000002</v>
      </c>
      <c r="P10" s="14">
        <f t="shared" si="12"/>
        <v>0.97240500000000007</v>
      </c>
      <c r="Q10" s="14">
        <f t="shared" si="13"/>
        <v>1.1182657499999999</v>
      </c>
    </row>
    <row r="11" spans="1:18" x14ac:dyDescent="0.4">
      <c r="A11" s="3">
        <v>110</v>
      </c>
      <c r="B11" s="16">
        <f t="shared" si="16"/>
        <v>25.525631250000004</v>
      </c>
      <c r="C11" s="16">
        <f t="shared" si="17"/>
        <v>40.841010000000011</v>
      </c>
      <c r="D11" s="16">
        <f t="shared" si="18"/>
        <v>56.156388750000012</v>
      </c>
      <c r="E11" s="16">
        <f t="shared" si="19"/>
        <v>71.471767500000013</v>
      </c>
      <c r="F11" s="16">
        <f t="shared" si="20"/>
        <v>86.787146250000021</v>
      </c>
      <c r="G11" s="16">
        <f t="shared" si="21"/>
        <v>102.10252500000001</v>
      </c>
      <c r="H11" s="16">
        <f t="shared" si="22"/>
        <v>117.41790375000001</v>
      </c>
      <c r="K11" s="14">
        <f t="shared" si="7"/>
        <v>0.23205119318181822</v>
      </c>
      <c r="L11" s="14">
        <f t="shared" si="8"/>
        <v>0.37128190909090919</v>
      </c>
      <c r="M11" s="14">
        <f t="shared" si="9"/>
        <v>0.51051262500000016</v>
      </c>
      <c r="N11" s="14">
        <f t="shared" si="10"/>
        <v>0.64974334090909103</v>
      </c>
      <c r="O11" s="14">
        <f t="shared" si="11"/>
        <v>0.788974056818182</v>
      </c>
      <c r="P11" s="14">
        <f t="shared" si="12"/>
        <v>0.92820477272727286</v>
      </c>
      <c r="Q11" s="14">
        <f t="shared" si="13"/>
        <v>1.0674354886363637</v>
      </c>
    </row>
    <row r="12" spans="1:18" x14ac:dyDescent="0.4">
      <c r="A12" s="3">
        <v>120</v>
      </c>
      <c r="B12" s="16">
        <f t="shared" si="16"/>
        <v>26.801912812500007</v>
      </c>
      <c r="C12" s="16">
        <f t="shared" si="17"/>
        <v>42.883060500000013</v>
      </c>
      <c r="D12" s="16">
        <f t="shared" si="18"/>
        <v>58.964208187500013</v>
      </c>
      <c r="E12" s="16">
        <f t="shared" si="19"/>
        <v>75.045355875000013</v>
      </c>
      <c r="F12" s="16">
        <f t="shared" si="20"/>
        <v>91.126503562500019</v>
      </c>
      <c r="G12" s="16">
        <f t="shared" si="21"/>
        <v>107.20765125000003</v>
      </c>
      <c r="H12" s="16">
        <f t="shared" si="22"/>
        <v>123.28879893750002</v>
      </c>
      <c r="K12" s="14">
        <f t="shared" si="7"/>
        <v>0.22334927343750005</v>
      </c>
      <c r="L12" s="14">
        <f t="shared" si="8"/>
        <v>0.35735883750000014</v>
      </c>
      <c r="M12" s="14">
        <f t="shared" si="9"/>
        <v>0.49136840156250011</v>
      </c>
      <c r="N12" s="14">
        <f t="shared" si="10"/>
        <v>0.62537796562500014</v>
      </c>
      <c r="O12" s="14">
        <f t="shared" si="11"/>
        <v>0.75938752968750012</v>
      </c>
      <c r="P12" s="14">
        <f t="shared" si="12"/>
        <v>0.8933970937500002</v>
      </c>
      <c r="Q12" s="14">
        <f t="shared" si="13"/>
        <v>1.0274066578125001</v>
      </c>
    </row>
    <row r="13" spans="1:18" x14ac:dyDescent="0.4">
      <c r="A13" s="3">
        <v>130</v>
      </c>
      <c r="B13" s="16">
        <f t="shared" si="16"/>
        <v>28.142008453125008</v>
      </c>
      <c r="C13" s="16">
        <f t="shared" si="17"/>
        <v>45.027213525000015</v>
      </c>
      <c r="D13" s="16">
        <f t="shared" si="18"/>
        <v>61.912418596875014</v>
      </c>
      <c r="E13" s="16">
        <f t="shared" si="19"/>
        <v>78.79762366875002</v>
      </c>
      <c r="F13" s="16">
        <f t="shared" si="20"/>
        <v>95.682828740625027</v>
      </c>
      <c r="G13" s="16">
        <f t="shared" si="21"/>
        <v>112.56803381250003</v>
      </c>
      <c r="H13" s="16">
        <f t="shared" si="22"/>
        <v>129.45323888437503</v>
      </c>
      <c r="K13" s="14">
        <f t="shared" si="7"/>
        <v>0.21647698810096161</v>
      </c>
      <c r="L13" s="14">
        <f t="shared" si="8"/>
        <v>0.34636318096153856</v>
      </c>
      <c r="M13" s="14">
        <f t="shared" si="9"/>
        <v>0.47624937382211552</v>
      </c>
      <c r="N13" s="14">
        <f t="shared" si="10"/>
        <v>0.60613556668269242</v>
      </c>
      <c r="O13" s="14">
        <f t="shared" si="11"/>
        <v>0.73602175954326943</v>
      </c>
      <c r="P13" s="14">
        <f t="shared" si="12"/>
        <v>0.86590795240384644</v>
      </c>
      <c r="Q13" s="14">
        <f t="shared" si="13"/>
        <v>0.99579414526442322</v>
      </c>
    </row>
    <row r="15" spans="1:18" ht="27.6" x14ac:dyDescent="0.4">
      <c r="A15" s="25" t="s">
        <v>87</v>
      </c>
      <c r="B15" s="26"/>
      <c r="C15" s="26"/>
      <c r="D15" s="26"/>
      <c r="E15" s="26"/>
      <c r="F15" s="26"/>
      <c r="G15" s="26"/>
      <c r="H15" s="26"/>
      <c r="K15" s="27" t="s">
        <v>88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</row>
    <row r="17" spans="1:17" x14ac:dyDescent="0.4">
      <c r="A17" s="2">
        <v>44</v>
      </c>
      <c r="B17" s="16">
        <f>B3/2</f>
        <v>8.5737500000000004</v>
      </c>
      <c r="C17" s="16">
        <f>C3/2</f>
        <v>13.717999999999998</v>
      </c>
      <c r="D17" s="16">
        <f>D3/2</f>
        <v>18.862249999999996</v>
      </c>
      <c r="E17" s="16">
        <f>E3/2</f>
        <v>24.006499999999996</v>
      </c>
      <c r="F17" s="16">
        <f>F3/2</f>
        <v>29.150749999999995</v>
      </c>
      <c r="G17" s="16">
        <f>G3/2</f>
        <v>34.295000000000002</v>
      </c>
      <c r="H17" s="16">
        <f>H3/2</f>
        <v>39.439249999999994</v>
      </c>
      <c r="K17" s="14">
        <f>B17/$A17</f>
        <v>0.19485795454545454</v>
      </c>
      <c r="L17" s="14">
        <f>D17/$A17</f>
        <v>0.42868749999999989</v>
      </c>
      <c r="M17" s="14">
        <f>F17/$A17</f>
        <v>0.66251704545454537</v>
      </c>
      <c r="N17" s="14">
        <f>E17/$A17</f>
        <v>0.54560227272727257</v>
      </c>
      <c r="O17" s="14">
        <f>G17/$A17</f>
        <v>0.77943181818181817</v>
      </c>
      <c r="P17" s="14">
        <f>G17/$A17</f>
        <v>0.77943181818181817</v>
      </c>
      <c r="Q17" s="14">
        <f>H17/$A17</f>
        <v>0.89634659090909075</v>
      </c>
    </row>
    <row r="18" spans="1:17" x14ac:dyDescent="0.4">
      <c r="A18" s="2">
        <v>48</v>
      </c>
      <c r="B18" s="16">
        <f>B4/2</f>
        <v>9.0250000000000004</v>
      </c>
      <c r="C18" s="16">
        <f>C4/2</f>
        <v>14.44</v>
      </c>
      <c r="D18" s="16">
        <f>D4/2</f>
        <v>19.854999999999997</v>
      </c>
      <c r="E18" s="16">
        <f>E4/2</f>
        <v>25.269999999999996</v>
      </c>
      <c r="F18" s="16">
        <f>F4/2</f>
        <v>30.684999999999995</v>
      </c>
      <c r="G18" s="16">
        <f>G4/2</f>
        <v>36.1</v>
      </c>
      <c r="H18" s="16">
        <f>H4/2</f>
        <v>41.514999999999993</v>
      </c>
      <c r="K18" s="14">
        <f t="shared" ref="K18:K25" si="23">B18/$A18</f>
        <v>0.18802083333333333</v>
      </c>
      <c r="L18" s="14">
        <f t="shared" ref="L18:L25" si="24">D18/$A18</f>
        <v>0.41364583333333327</v>
      </c>
      <c r="M18" s="14">
        <f t="shared" ref="M18:M25" si="25">F18/$A18</f>
        <v>0.63927083333333323</v>
      </c>
      <c r="N18" s="14">
        <f t="shared" ref="N18:N25" si="26">E18/$A18</f>
        <v>0.52645833333333325</v>
      </c>
      <c r="O18" s="14">
        <f t="shared" ref="O18:O25" si="27">G18/$A18</f>
        <v>0.75208333333333333</v>
      </c>
      <c r="P18" s="14">
        <f t="shared" ref="P18:Q25" si="28">G18/$A18</f>
        <v>0.75208333333333333</v>
      </c>
      <c r="Q18" s="14">
        <f t="shared" si="28"/>
        <v>0.8648958333333332</v>
      </c>
    </row>
    <row r="19" spans="1:17" x14ac:dyDescent="0.4">
      <c r="A19" s="2">
        <v>52</v>
      </c>
      <c r="B19" s="16">
        <f t="shared" ref="B19:H19" si="29">B5/2</f>
        <v>9.5</v>
      </c>
      <c r="C19" s="16">
        <f t="shared" si="29"/>
        <v>15.2</v>
      </c>
      <c r="D19" s="16">
        <f t="shared" si="29"/>
        <v>20.9</v>
      </c>
      <c r="E19" s="16">
        <f t="shared" si="29"/>
        <v>26.599999999999998</v>
      </c>
      <c r="F19" s="16">
        <f t="shared" si="29"/>
        <v>32.299999999999997</v>
      </c>
      <c r="G19" s="16">
        <f t="shared" si="29"/>
        <v>38</v>
      </c>
      <c r="H19" s="16">
        <f t="shared" si="29"/>
        <v>43.699999999999996</v>
      </c>
      <c r="K19" s="14">
        <f t="shared" si="23"/>
        <v>0.18269230769230768</v>
      </c>
      <c r="L19" s="14">
        <f t="shared" si="24"/>
        <v>0.40192307692307688</v>
      </c>
      <c r="M19" s="14">
        <f t="shared" si="25"/>
        <v>0.62115384615384606</v>
      </c>
      <c r="N19" s="14">
        <f t="shared" si="26"/>
        <v>0.5115384615384615</v>
      </c>
      <c r="O19" s="14">
        <f t="shared" si="27"/>
        <v>0.73076923076923073</v>
      </c>
      <c r="P19" s="14">
        <f t="shared" si="28"/>
        <v>0.73076923076923073</v>
      </c>
      <c r="Q19" s="14">
        <f t="shared" si="28"/>
        <v>0.84038461538461529</v>
      </c>
    </row>
    <row r="20" spans="1:17" x14ac:dyDescent="0.4">
      <c r="A20" s="2">
        <v>56</v>
      </c>
      <c r="B20" s="16">
        <f t="shared" ref="B20:H20" si="30">B6/2</f>
        <v>10</v>
      </c>
      <c r="C20" s="16">
        <f t="shared" si="30"/>
        <v>16</v>
      </c>
      <c r="D20" s="16">
        <f t="shared" si="30"/>
        <v>22</v>
      </c>
      <c r="E20" s="16">
        <f t="shared" si="30"/>
        <v>28</v>
      </c>
      <c r="F20" s="16">
        <f t="shared" si="30"/>
        <v>34</v>
      </c>
      <c r="G20" s="16">
        <f t="shared" si="30"/>
        <v>40</v>
      </c>
      <c r="H20" s="16">
        <f t="shared" si="30"/>
        <v>46</v>
      </c>
      <c r="K20" s="14">
        <f t="shared" si="23"/>
        <v>0.17857142857142858</v>
      </c>
      <c r="L20" s="14">
        <f t="shared" si="24"/>
        <v>0.39285714285714285</v>
      </c>
      <c r="M20" s="14">
        <f t="shared" si="25"/>
        <v>0.6071428571428571</v>
      </c>
      <c r="N20" s="14">
        <f t="shared" si="26"/>
        <v>0.5</v>
      </c>
      <c r="O20" s="14">
        <f t="shared" si="27"/>
        <v>0.7142857142857143</v>
      </c>
      <c r="P20" s="14">
        <f t="shared" si="28"/>
        <v>0.7142857142857143</v>
      </c>
      <c r="Q20" s="14">
        <f t="shared" si="28"/>
        <v>0.8214285714285714</v>
      </c>
    </row>
    <row r="21" spans="1:17" x14ac:dyDescent="0.4">
      <c r="A21" s="2">
        <v>60</v>
      </c>
      <c r="B21" s="16">
        <f t="shared" ref="B21:H21" si="31">B7/2</f>
        <v>10.5</v>
      </c>
      <c r="C21" s="16">
        <f t="shared" si="31"/>
        <v>16.8</v>
      </c>
      <c r="D21" s="16">
        <f t="shared" si="31"/>
        <v>23.1</v>
      </c>
      <c r="E21" s="16">
        <f t="shared" si="31"/>
        <v>29.400000000000002</v>
      </c>
      <c r="F21" s="16">
        <f t="shared" si="31"/>
        <v>35.700000000000003</v>
      </c>
      <c r="G21" s="16">
        <f t="shared" si="31"/>
        <v>42</v>
      </c>
      <c r="H21" s="16">
        <f t="shared" si="31"/>
        <v>48.300000000000004</v>
      </c>
      <c r="K21" s="14">
        <f t="shared" si="23"/>
        <v>0.17499999999999999</v>
      </c>
      <c r="L21" s="14">
        <f t="shared" si="24"/>
        <v>0.38500000000000001</v>
      </c>
      <c r="M21" s="14">
        <f t="shared" si="25"/>
        <v>0.59500000000000008</v>
      </c>
      <c r="N21" s="14">
        <f t="shared" si="26"/>
        <v>0.49000000000000005</v>
      </c>
      <c r="O21" s="14">
        <f t="shared" si="27"/>
        <v>0.7</v>
      </c>
      <c r="P21" s="14">
        <f t="shared" si="28"/>
        <v>0.7</v>
      </c>
      <c r="Q21" s="14">
        <f t="shared" si="28"/>
        <v>0.80500000000000005</v>
      </c>
    </row>
    <row r="22" spans="1:17" x14ac:dyDescent="0.4">
      <c r="A22" s="2">
        <v>67</v>
      </c>
      <c r="B22" s="16">
        <f t="shared" ref="B22:H22" si="32">B8/2</f>
        <v>11.025</v>
      </c>
      <c r="C22" s="16">
        <f t="shared" si="32"/>
        <v>17.64</v>
      </c>
      <c r="D22" s="16">
        <f t="shared" si="32"/>
        <v>24.255000000000003</v>
      </c>
      <c r="E22" s="16">
        <f t="shared" si="32"/>
        <v>30.870000000000005</v>
      </c>
      <c r="F22" s="16">
        <f t="shared" si="32"/>
        <v>37.485000000000007</v>
      </c>
      <c r="G22" s="16">
        <f t="shared" si="32"/>
        <v>44.1</v>
      </c>
      <c r="H22" s="16">
        <f t="shared" si="32"/>
        <v>50.715000000000003</v>
      </c>
      <c r="K22" s="14">
        <f t="shared" si="23"/>
        <v>0.16455223880597014</v>
      </c>
      <c r="L22" s="14">
        <f t="shared" si="24"/>
        <v>0.36201492537313434</v>
      </c>
      <c r="M22" s="14">
        <f t="shared" si="25"/>
        <v>0.55947761194029866</v>
      </c>
      <c r="N22" s="14">
        <f t="shared" si="26"/>
        <v>0.46074626865671647</v>
      </c>
      <c r="O22" s="14">
        <f t="shared" si="27"/>
        <v>0.65820895522388057</v>
      </c>
      <c r="P22" s="14">
        <f t="shared" si="28"/>
        <v>0.65820895522388057</v>
      </c>
      <c r="Q22" s="14">
        <f t="shared" si="28"/>
        <v>0.75694029850746269</v>
      </c>
    </row>
    <row r="23" spans="1:17" x14ac:dyDescent="0.4">
      <c r="A23" s="2">
        <v>75</v>
      </c>
      <c r="B23" s="16">
        <f t="shared" ref="B23:H23" si="33">B9/2</f>
        <v>11.576250000000002</v>
      </c>
      <c r="C23" s="16">
        <f t="shared" si="33"/>
        <v>18.522000000000002</v>
      </c>
      <c r="D23" s="16">
        <f t="shared" si="33"/>
        <v>25.467750000000002</v>
      </c>
      <c r="E23" s="16">
        <f t="shared" si="33"/>
        <v>32.413500000000006</v>
      </c>
      <c r="F23" s="16">
        <f t="shared" si="33"/>
        <v>39.35925000000001</v>
      </c>
      <c r="G23" s="16">
        <f t="shared" si="33"/>
        <v>46.305000000000007</v>
      </c>
      <c r="H23" s="16">
        <f t="shared" si="33"/>
        <v>53.250750000000004</v>
      </c>
      <c r="K23" s="14">
        <f t="shared" si="23"/>
        <v>0.15435000000000001</v>
      </c>
      <c r="L23" s="14">
        <f t="shared" si="24"/>
        <v>0.33957000000000004</v>
      </c>
      <c r="M23" s="14">
        <f t="shared" si="25"/>
        <v>0.52479000000000009</v>
      </c>
      <c r="N23" s="14">
        <f t="shared" si="26"/>
        <v>0.43218000000000006</v>
      </c>
      <c r="O23" s="14">
        <f t="shared" si="27"/>
        <v>0.61740000000000006</v>
      </c>
      <c r="P23" s="14">
        <f t="shared" si="28"/>
        <v>0.61740000000000006</v>
      </c>
      <c r="Q23" s="14">
        <f t="shared" si="28"/>
        <v>0.71001000000000003</v>
      </c>
    </row>
    <row r="24" spans="1:17" x14ac:dyDescent="0.4">
      <c r="A24" s="2">
        <v>82</v>
      </c>
      <c r="B24" s="16">
        <f t="shared" ref="B24:H24" si="34">B10/2</f>
        <v>12.155062500000001</v>
      </c>
      <c r="C24" s="16">
        <f t="shared" si="34"/>
        <v>19.448100000000004</v>
      </c>
      <c r="D24" s="16">
        <f t="shared" si="34"/>
        <v>26.741137500000004</v>
      </c>
      <c r="E24" s="16">
        <f t="shared" si="34"/>
        <v>34.034175000000005</v>
      </c>
      <c r="F24" s="16">
        <f t="shared" si="34"/>
        <v>41.327212500000009</v>
      </c>
      <c r="G24" s="16">
        <f t="shared" si="34"/>
        <v>48.620250000000006</v>
      </c>
      <c r="H24" s="16">
        <f t="shared" si="34"/>
        <v>55.913287500000003</v>
      </c>
      <c r="K24" s="14">
        <f t="shared" si="23"/>
        <v>0.14823246951219515</v>
      </c>
      <c r="L24" s="14">
        <f t="shared" si="24"/>
        <v>0.32611143292682931</v>
      </c>
      <c r="M24" s="14">
        <f t="shared" si="25"/>
        <v>0.50399039634146348</v>
      </c>
      <c r="N24" s="14">
        <f t="shared" si="26"/>
        <v>0.4150509146341464</v>
      </c>
      <c r="O24" s="14">
        <f t="shared" si="27"/>
        <v>0.59292987804878061</v>
      </c>
      <c r="P24" s="14">
        <f t="shared" si="28"/>
        <v>0.59292987804878061</v>
      </c>
      <c r="Q24" s="14">
        <f t="shared" si="28"/>
        <v>0.68186935975609764</v>
      </c>
    </row>
    <row r="25" spans="1:17" x14ac:dyDescent="0.4">
      <c r="A25" s="2">
        <v>90</v>
      </c>
      <c r="B25" s="16">
        <f t="shared" ref="B25:H25" si="35">B11/2</f>
        <v>12.762815625000002</v>
      </c>
      <c r="C25" s="16">
        <f t="shared" si="35"/>
        <v>20.420505000000006</v>
      </c>
      <c r="D25" s="16">
        <f t="shared" si="35"/>
        <v>28.078194375000006</v>
      </c>
      <c r="E25" s="16">
        <f t="shared" si="35"/>
        <v>35.735883750000006</v>
      </c>
      <c r="F25" s="16">
        <f t="shared" si="35"/>
        <v>43.39357312500001</v>
      </c>
      <c r="G25" s="16">
        <f t="shared" si="35"/>
        <v>51.051262500000007</v>
      </c>
      <c r="H25" s="16">
        <f t="shared" si="35"/>
        <v>58.708951875000004</v>
      </c>
      <c r="K25" s="14">
        <f t="shared" si="23"/>
        <v>0.14180906250000003</v>
      </c>
      <c r="L25" s="14">
        <f t="shared" si="24"/>
        <v>0.31197993750000008</v>
      </c>
      <c r="M25" s="14">
        <f t="shared" si="25"/>
        <v>0.48215081250000014</v>
      </c>
      <c r="N25" s="14">
        <f t="shared" si="26"/>
        <v>0.39706537500000005</v>
      </c>
      <c r="O25" s="14">
        <f t="shared" si="27"/>
        <v>0.56723625000000011</v>
      </c>
      <c r="P25" s="14">
        <f t="shared" si="28"/>
        <v>0.56723625000000011</v>
      </c>
      <c r="Q25" s="14">
        <f t="shared" si="28"/>
        <v>0.65232168750000008</v>
      </c>
    </row>
    <row r="26" spans="1:17" x14ac:dyDescent="0.4">
      <c r="A26" s="4"/>
      <c r="B26" s="5"/>
      <c r="C26" s="5"/>
      <c r="D26" s="5"/>
      <c r="E26" s="5"/>
      <c r="F26" s="5"/>
      <c r="G26" s="5"/>
      <c r="H26" s="5"/>
      <c r="I26" s="5"/>
    </row>
    <row r="27" spans="1:17" x14ac:dyDescent="0.4">
      <c r="A27" s="4"/>
      <c r="B27" s="5"/>
      <c r="C27" s="5"/>
      <c r="D27" s="5"/>
      <c r="E27" s="5"/>
      <c r="F27" s="5"/>
      <c r="G27" s="5"/>
      <c r="H27" s="5"/>
      <c r="I27" s="5"/>
    </row>
    <row r="28" spans="1:17" x14ac:dyDescent="0.4">
      <c r="A28" s="5"/>
      <c r="B28" s="5"/>
      <c r="C28" s="5"/>
      <c r="D28" s="5"/>
      <c r="E28" s="5"/>
      <c r="F28" s="5"/>
      <c r="G28" s="5"/>
      <c r="H28" s="5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pageSetup paperSize="9" orientation="portrait" verticalDpi="0" r:id="rId1"/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4" zoomScaleNormal="94" workbookViewId="0">
      <selection activeCell="J13" sqref="J13"/>
    </sheetView>
  </sheetViews>
  <sheetFormatPr defaultColWidth="8.69921875" defaultRowHeight="17.399999999999999" x14ac:dyDescent="0.4"/>
  <cols>
    <col min="1" max="16384" width="8.69921875" style="14"/>
  </cols>
  <sheetData>
    <row r="1" spans="1:18" ht="25.2" x14ac:dyDescent="0.4">
      <c r="A1" s="25" t="s">
        <v>81</v>
      </c>
      <c r="B1" s="26"/>
      <c r="C1" s="26"/>
      <c r="D1" s="26"/>
      <c r="E1" s="26"/>
      <c r="F1" s="26"/>
      <c r="G1" s="26"/>
      <c r="H1" s="26"/>
      <c r="K1" s="25" t="s">
        <v>82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</row>
    <row r="3" spans="1:18" x14ac:dyDescent="0.4">
      <c r="A3" s="3">
        <v>55</v>
      </c>
      <c r="B3" s="16">
        <f t="shared" ref="B3:B4" si="0">B4*0.95</f>
        <v>8.5737500000000004</v>
      </c>
      <c r="C3" s="16">
        <f t="shared" ref="C3:C4" si="1">C4*0.95</f>
        <v>12.860624999999999</v>
      </c>
      <c r="D3" s="16">
        <f t="shared" ref="D3:D4" si="2">D4*0.95</f>
        <v>17.147500000000001</v>
      </c>
      <c r="E3" s="16">
        <f t="shared" ref="E3:E4" si="3">E4*0.95</f>
        <v>21.434374999999999</v>
      </c>
      <c r="F3" s="16">
        <f t="shared" ref="F3:F4" si="4">F4*0.95</f>
        <v>32.580249999999999</v>
      </c>
      <c r="G3" s="16">
        <f t="shared" ref="G3:G4" si="5">G4*0.95</f>
        <v>42.868749999999999</v>
      </c>
      <c r="H3" s="16">
        <f t="shared" ref="H3:H4" si="6">H4*0.95</f>
        <v>55.72937499999999</v>
      </c>
      <c r="K3" s="14">
        <f t="shared" ref="K3:Q13" si="7">B3/$A3</f>
        <v>0.15588636363636366</v>
      </c>
      <c r="L3" s="14">
        <f t="shared" si="7"/>
        <v>0.23382954545454543</v>
      </c>
      <c r="M3" s="14">
        <f t="shared" si="7"/>
        <v>0.31177272727272731</v>
      </c>
      <c r="N3" s="14">
        <f t="shared" si="7"/>
        <v>0.38971590909090909</v>
      </c>
      <c r="O3" s="14">
        <f t="shared" si="7"/>
        <v>0.59236818181818185</v>
      </c>
      <c r="P3" s="14">
        <f t="shared" si="7"/>
        <v>0.77943181818181817</v>
      </c>
      <c r="Q3" s="14">
        <f t="shared" si="7"/>
        <v>1.0132613636363634</v>
      </c>
    </row>
    <row r="4" spans="1:18" x14ac:dyDescent="0.4">
      <c r="A4" s="3">
        <v>60</v>
      </c>
      <c r="B4" s="16">
        <f t="shared" si="0"/>
        <v>9.0250000000000004</v>
      </c>
      <c r="C4" s="16">
        <f t="shared" si="1"/>
        <v>13.5375</v>
      </c>
      <c r="D4" s="16">
        <f t="shared" si="2"/>
        <v>18.05</v>
      </c>
      <c r="E4" s="16">
        <f t="shared" si="3"/>
        <v>22.5625</v>
      </c>
      <c r="F4" s="16">
        <f t="shared" si="4"/>
        <v>34.295000000000002</v>
      </c>
      <c r="G4" s="16">
        <f t="shared" si="5"/>
        <v>45.125</v>
      </c>
      <c r="H4" s="16">
        <f t="shared" si="6"/>
        <v>58.662499999999994</v>
      </c>
      <c r="K4" s="14">
        <f t="shared" si="7"/>
        <v>0.15041666666666667</v>
      </c>
      <c r="L4" s="14">
        <f t="shared" si="7"/>
        <v>0.22562499999999999</v>
      </c>
      <c r="M4" s="14">
        <f t="shared" si="7"/>
        <v>0.30083333333333334</v>
      </c>
      <c r="N4" s="14">
        <f t="shared" si="7"/>
        <v>0.37604166666666666</v>
      </c>
      <c r="O4" s="14">
        <f t="shared" si="7"/>
        <v>0.57158333333333333</v>
      </c>
      <c r="P4" s="14">
        <f t="shared" si="7"/>
        <v>0.75208333333333333</v>
      </c>
      <c r="Q4" s="14">
        <f t="shared" si="7"/>
        <v>0.97770833333333329</v>
      </c>
    </row>
    <row r="5" spans="1:18" x14ac:dyDescent="0.4">
      <c r="A5" s="3">
        <v>65</v>
      </c>
      <c r="B5" s="16">
        <f>B6*0.95</f>
        <v>9.5</v>
      </c>
      <c r="C5" s="16">
        <f t="shared" ref="C5:H5" si="8">C6*0.95</f>
        <v>14.25</v>
      </c>
      <c r="D5" s="16">
        <f t="shared" si="8"/>
        <v>19</v>
      </c>
      <c r="E5" s="16">
        <f t="shared" si="8"/>
        <v>23.75</v>
      </c>
      <c r="F5" s="16">
        <f t="shared" si="8"/>
        <v>36.1</v>
      </c>
      <c r="G5" s="16">
        <f t="shared" si="8"/>
        <v>47.5</v>
      </c>
      <c r="H5" s="16">
        <f t="shared" si="8"/>
        <v>61.75</v>
      </c>
      <c r="K5" s="14">
        <f t="shared" si="7"/>
        <v>0.14615384615384616</v>
      </c>
      <c r="L5" s="14">
        <f t="shared" si="7"/>
        <v>0.21923076923076923</v>
      </c>
      <c r="M5" s="14">
        <f t="shared" si="7"/>
        <v>0.29230769230769232</v>
      </c>
      <c r="N5" s="14">
        <f t="shared" si="7"/>
        <v>0.36538461538461536</v>
      </c>
      <c r="O5" s="14">
        <f t="shared" si="7"/>
        <v>0.55538461538461537</v>
      </c>
      <c r="P5" s="14">
        <f t="shared" si="7"/>
        <v>0.73076923076923073</v>
      </c>
      <c r="Q5" s="14">
        <f t="shared" si="7"/>
        <v>0.95</v>
      </c>
    </row>
    <row r="6" spans="1:18" x14ac:dyDescent="0.4">
      <c r="A6" s="3">
        <v>70</v>
      </c>
      <c r="B6" s="22">
        <v>10</v>
      </c>
      <c r="C6" s="22">
        <v>15</v>
      </c>
      <c r="D6" s="22">
        <v>20</v>
      </c>
      <c r="E6" s="23">
        <v>25</v>
      </c>
      <c r="F6" s="22">
        <v>38</v>
      </c>
      <c r="G6" s="22">
        <v>50</v>
      </c>
      <c r="H6" s="22">
        <v>65</v>
      </c>
      <c r="K6" s="14">
        <f t="shared" si="7"/>
        <v>0.14285714285714285</v>
      </c>
      <c r="L6" s="14">
        <f t="shared" si="7"/>
        <v>0.21428571428571427</v>
      </c>
      <c r="M6" s="14">
        <f t="shared" si="7"/>
        <v>0.2857142857142857</v>
      </c>
      <c r="N6" s="14">
        <f t="shared" si="7"/>
        <v>0.35714285714285715</v>
      </c>
      <c r="O6" s="14">
        <f t="shared" si="7"/>
        <v>0.54285714285714282</v>
      </c>
      <c r="P6" s="14">
        <f t="shared" si="7"/>
        <v>0.7142857142857143</v>
      </c>
      <c r="Q6" s="14">
        <f t="shared" si="7"/>
        <v>0.9285714285714286</v>
      </c>
    </row>
    <row r="7" spans="1:18" x14ac:dyDescent="0.4">
      <c r="A7" s="3">
        <v>75</v>
      </c>
      <c r="B7" s="18">
        <f>B6*1.05</f>
        <v>10.5</v>
      </c>
      <c r="C7" s="18">
        <f t="shared" ref="C7:H7" si="9">C6*1.05</f>
        <v>15.75</v>
      </c>
      <c r="D7" s="18">
        <f t="shared" si="9"/>
        <v>21</v>
      </c>
      <c r="E7" s="18">
        <f t="shared" si="9"/>
        <v>26.25</v>
      </c>
      <c r="F7" s="18">
        <f t="shared" si="9"/>
        <v>39.9</v>
      </c>
      <c r="G7" s="18">
        <f t="shared" si="9"/>
        <v>52.5</v>
      </c>
      <c r="H7" s="18">
        <f t="shared" si="9"/>
        <v>68.25</v>
      </c>
      <c r="K7" s="14">
        <f t="shared" si="7"/>
        <v>0.14000000000000001</v>
      </c>
      <c r="L7" s="14">
        <f t="shared" si="7"/>
        <v>0.21</v>
      </c>
      <c r="M7" s="14">
        <f t="shared" si="7"/>
        <v>0.28000000000000003</v>
      </c>
      <c r="N7" s="14">
        <f t="shared" si="7"/>
        <v>0.35</v>
      </c>
      <c r="O7" s="14">
        <f t="shared" si="7"/>
        <v>0.53200000000000003</v>
      </c>
      <c r="P7" s="14">
        <f t="shared" si="7"/>
        <v>0.7</v>
      </c>
      <c r="Q7" s="14">
        <f t="shared" si="7"/>
        <v>0.91</v>
      </c>
    </row>
    <row r="8" spans="1:18" x14ac:dyDescent="0.4">
      <c r="A8" s="3">
        <v>82</v>
      </c>
      <c r="B8" s="18">
        <f t="shared" ref="B8:B13" si="10">B7*1.05</f>
        <v>11.025</v>
      </c>
      <c r="C8" s="18">
        <f t="shared" ref="C8:C13" si="11">C7*1.05</f>
        <v>16.537500000000001</v>
      </c>
      <c r="D8" s="18">
        <f t="shared" ref="D8:D13" si="12">D7*1.05</f>
        <v>22.05</v>
      </c>
      <c r="E8" s="18">
        <f t="shared" ref="E8:E13" si="13">E7*1.05</f>
        <v>27.5625</v>
      </c>
      <c r="F8" s="18">
        <f t="shared" ref="F8:F13" si="14">F7*1.05</f>
        <v>41.895000000000003</v>
      </c>
      <c r="G8" s="18">
        <f t="shared" ref="G8:G13" si="15">G7*1.05</f>
        <v>55.125</v>
      </c>
      <c r="H8" s="18">
        <f t="shared" ref="H8:H13" si="16">H7*1.05</f>
        <v>71.662500000000009</v>
      </c>
      <c r="K8" s="14">
        <f t="shared" si="7"/>
        <v>0.13445121951219513</v>
      </c>
      <c r="L8" s="14">
        <f t="shared" si="7"/>
        <v>0.2016768292682927</v>
      </c>
      <c r="M8" s="14">
        <f t="shared" si="7"/>
        <v>0.26890243902439026</v>
      </c>
      <c r="N8" s="14">
        <f t="shared" si="7"/>
        <v>0.3361280487804878</v>
      </c>
      <c r="O8" s="14">
        <f t="shared" si="7"/>
        <v>0.51091463414634153</v>
      </c>
      <c r="P8" s="14">
        <f t="shared" si="7"/>
        <v>0.6722560975609756</v>
      </c>
      <c r="Q8" s="14">
        <f t="shared" si="7"/>
        <v>0.87393292682926838</v>
      </c>
    </row>
    <row r="9" spans="1:18" x14ac:dyDescent="0.4">
      <c r="A9" s="3">
        <v>90</v>
      </c>
      <c r="B9" s="18">
        <f t="shared" si="10"/>
        <v>11.576250000000002</v>
      </c>
      <c r="C9" s="18">
        <f t="shared" si="11"/>
        <v>17.364375000000003</v>
      </c>
      <c r="D9" s="18">
        <f t="shared" si="12"/>
        <v>23.152500000000003</v>
      </c>
      <c r="E9" s="18">
        <f t="shared" si="13"/>
        <v>28.940625000000001</v>
      </c>
      <c r="F9" s="18">
        <f t="shared" si="14"/>
        <v>43.989750000000008</v>
      </c>
      <c r="G9" s="18">
        <f t="shared" si="15"/>
        <v>57.881250000000001</v>
      </c>
      <c r="H9" s="18">
        <f t="shared" si="16"/>
        <v>75.245625000000018</v>
      </c>
      <c r="K9" s="14">
        <f t="shared" si="7"/>
        <v>0.12862500000000002</v>
      </c>
      <c r="L9" s="14">
        <f t="shared" si="7"/>
        <v>0.19293750000000004</v>
      </c>
      <c r="M9" s="14">
        <f t="shared" si="7"/>
        <v>0.25725000000000003</v>
      </c>
      <c r="N9" s="14">
        <f t="shared" si="7"/>
        <v>0.32156250000000003</v>
      </c>
      <c r="O9" s="14">
        <f t="shared" si="7"/>
        <v>0.48877500000000007</v>
      </c>
      <c r="P9" s="14">
        <f t="shared" si="7"/>
        <v>0.64312500000000006</v>
      </c>
      <c r="Q9" s="14">
        <f t="shared" si="7"/>
        <v>0.83606250000000015</v>
      </c>
    </row>
    <row r="10" spans="1:18" x14ac:dyDescent="0.4">
      <c r="A10" s="3">
        <v>100</v>
      </c>
      <c r="B10" s="18">
        <f t="shared" si="10"/>
        <v>12.155062500000001</v>
      </c>
      <c r="C10" s="18">
        <f t="shared" si="11"/>
        <v>18.232593750000003</v>
      </c>
      <c r="D10" s="18">
        <f t="shared" si="12"/>
        <v>24.310125000000003</v>
      </c>
      <c r="E10" s="18">
        <f t="shared" si="13"/>
        <v>30.387656250000003</v>
      </c>
      <c r="F10" s="18">
        <f t="shared" si="14"/>
        <v>46.189237500000011</v>
      </c>
      <c r="G10" s="18">
        <f t="shared" si="15"/>
        <v>60.775312500000005</v>
      </c>
      <c r="H10" s="18">
        <f t="shared" si="16"/>
        <v>79.007906250000019</v>
      </c>
      <c r="K10" s="14">
        <f t="shared" si="7"/>
        <v>0.12155062500000001</v>
      </c>
      <c r="L10" s="14">
        <f t="shared" si="7"/>
        <v>0.18232593750000003</v>
      </c>
      <c r="M10" s="14">
        <f t="shared" si="7"/>
        <v>0.24310125000000002</v>
      </c>
      <c r="N10" s="14">
        <f t="shared" si="7"/>
        <v>0.3038765625</v>
      </c>
      <c r="O10" s="14">
        <f t="shared" si="7"/>
        <v>0.46189237500000013</v>
      </c>
      <c r="P10" s="14">
        <f t="shared" si="7"/>
        <v>0.60775312500000001</v>
      </c>
      <c r="Q10" s="14">
        <f t="shared" si="7"/>
        <v>0.79007906250000015</v>
      </c>
    </row>
    <row r="11" spans="1:18" x14ac:dyDescent="0.4">
      <c r="A11" s="3">
        <v>110</v>
      </c>
      <c r="B11" s="18">
        <f t="shared" si="10"/>
        <v>12.762815625000002</v>
      </c>
      <c r="C11" s="18">
        <f t="shared" si="11"/>
        <v>19.144223437500003</v>
      </c>
      <c r="D11" s="18">
        <f t="shared" si="12"/>
        <v>25.525631250000004</v>
      </c>
      <c r="E11" s="18">
        <f t="shared" si="13"/>
        <v>31.907039062500004</v>
      </c>
      <c r="F11" s="18">
        <f t="shared" si="14"/>
        <v>48.498699375000015</v>
      </c>
      <c r="G11" s="18">
        <f t="shared" si="15"/>
        <v>63.814078125000009</v>
      </c>
      <c r="H11" s="18">
        <f t="shared" si="16"/>
        <v>82.958301562500026</v>
      </c>
      <c r="K11" s="14">
        <f t="shared" si="7"/>
        <v>0.11602559659090911</v>
      </c>
      <c r="L11" s="14">
        <f t="shared" si="7"/>
        <v>0.17403839488636366</v>
      </c>
      <c r="M11" s="14">
        <f t="shared" si="7"/>
        <v>0.23205119318181822</v>
      </c>
      <c r="N11" s="14">
        <f t="shared" si="7"/>
        <v>0.29006399147727274</v>
      </c>
      <c r="O11" s="14">
        <f t="shared" si="7"/>
        <v>0.44089726704545468</v>
      </c>
      <c r="P11" s="14">
        <f t="shared" si="7"/>
        <v>0.58012798295454548</v>
      </c>
      <c r="Q11" s="14">
        <f t="shared" si="7"/>
        <v>0.75416637784090934</v>
      </c>
    </row>
    <row r="12" spans="1:18" x14ac:dyDescent="0.4">
      <c r="A12" s="3">
        <v>120</v>
      </c>
      <c r="B12" s="18">
        <f t="shared" si="10"/>
        <v>13.400956406250003</v>
      </c>
      <c r="C12" s="18">
        <f t="shared" si="11"/>
        <v>20.101434609375005</v>
      </c>
      <c r="D12" s="18">
        <f t="shared" si="12"/>
        <v>26.801912812500007</v>
      </c>
      <c r="E12" s="18">
        <f t="shared" si="13"/>
        <v>33.502391015625008</v>
      </c>
      <c r="F12" s="18">
        <f t="shared" si="14"/>
        <v>50.923634343750017</v>
      </c>
      <c r="G12" s="18">
        <f t="shared" si="15"/>
        <v>67.004782031250016</v>
      </c>
      <c r="H12" s="18">
        <f t="shared" si="16"/>
        <v>87.106216640625036</v>
      </c>
      <c r="K12" s="14">
        <f t="shared" si="7"/>
        <v>0.11167463671875003</v>
      </c>
      <c r="L12" s="14">
        <f t="shared" si="7"/>
        <v>0.16751195507812505</v>
      </c>
      <c r="M12" s="14">
        <f t="shared" si="7"/>
        <v>0.22334927343750005</v>
      </c>
      <c r="N12" s="14">
        <f t="shared" si="7"/>
        <v>0.27918659179687505</v>
      </c>
      <c r="O12" s="14">
        <f t="shared" si="7"/>
        <v>0.42436361953125012</v>
      </c>
      <c r="P12" s="14">
        <f t="shared" si="7"/>
        <v>0.5583731835937501</v>
      </c>
      <c r="Q12" s="14">
        <f t="shared" si="7"/>
        <v>0.72588513867187532</v>
      </c>
    </row>
    <row r="13" spans="1:18" x14ac:dyDescent="0.4">
      <c r="A13" s="3">
        <v>130</v>
      </c>
      <c r="B13" s="18">
        <f t="shared" si="10"/>
        <v>14.071004226562504</v>
      </c>
      <c r="C13" s="18">
        <f t="shared" si="11"/>
        <v>21.106506339843754</v>
      </c>
      <c r="D13" s="18">
        <f t="shared" si="12"/>
        <v>28.142008453125008</v>
      </c>
      <c r="E13" s="18">
        <f t="shared" si="13"/>
        <v>35.177510566406262</v>
      </c>
      <c r="F13" s="18">
        <f t="shared" si="14"/>
        <v>53.469816060937518</v>
      </c>
      <c r="G13" s="18">
        <f t="shared" si="15"/>
        <v>70.355021132812524</v>
      </c>
      <c r="H13" s="18">
        <f t="shared" si="16"/>
        <v>91.461527472656286</v>
      </c>
      <c r="K13" s="14">
        <f t="shared" si="7"/>
        <v>0.1082384940504808</v>
      </c>
      <c r="L13" s="14">
        <f t="shared" si="7"/>
        <v>0.16235774107572118</v>
      </c>
      <c r="M13" s="14">
        <f t="shared" si="7"/>
        <v>0.21647698810096161</v>
      </c>
      <c r="N13" s="14">
        <f t="shared" si="7"/>
        <v>0.27059623512620201</v>
      </c>
      <c r="O13" s="14">
        <f t="shared" si="7"/>
        <v>0.41130627739182707</v>
      </c>
      <c r="P13" s="14">
        <f t="shared" si="7"/>
        <v>0.54119247025240402</v>
      </c>
      <c r="Q13" s="14">
        <f t="shared" si="7"/>
        <v>0.70355021132812523</v>
      </c>
    </row>
    <row r="15" spans="1:18" ht="27.6" x14ac:dyDescent="0.4">
      <c r="A15" s="25" t="s">
        <v>83</v>
      </c>
      <c r="B15" s="26"/>
      <c r="C15" s="26"/>
      <c r="D15" s="26"/>
      <c r="E15" s="26"/>
      <c r="F15" s="26"/>
      <c r="G15" s="26"/>
      <c r="H15" s="26"/>
      <c r="K15" s="27" t="s">
        <v>84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</row>
    <row r="17" spans="1:17" x14ac:dyDescent="0.4">
      <c r="A17" s="2">
        <v>44</v>
      </c>
      <c r="B17" s="16">
        <f>B3/2</f>
        <v>4.2868750000000002</v>
      </c>
      <c r="C17" s="16">
        <f>C3/2</f>
        <v>6.4303124999999994</v>
      </c>
      <c r="D17" s="16">
        <f>D3/2</f>
        <v>8.5737500000000004</v>
      </c>
      <c r="E17" s="16">
        <f>E3/2</f>
        <v>10.7171875</v>
      </c>
      <c r="F17" s="16">
        <f>F3/2</f>
        <v>16.290125</v>
      </c>
      <c r="G17" s="16">
        <f>G3/2</f>
        <v>21.434374999999999</v>
      </c>
      <c r="H17" s="16">
        <f>H3/2</f>
        <v>27.864687499999995</v>
      </c>
      <c r="K17" s="14">
        <f>B17/$A17</f>
        <v>9.7428977272727271E-2</v>
      </c>
      <c r="L17" s="14">
        <f>D17/$A17</f>
        <v>0.19485795454545454</v>
      </c>
      <c r="M17" s="14">
        <f>F17/$A17</f>
        <v>0.37023011363636366</v>
      </c>
      <c r="N17" s="14">
        <f>E17/$A17</f>
        <v>0.24357244318181817</v>
      </c>
      <c r="O17" s="14">
        <f>G17/$A17</f>
        <v>0.48714488636363634</v>
      </c>
      <c r="P17" s="14">
        <f>G17/$A17</f>
        <v>0.48714488636363634</v>
      </c>
      <c r="Q17" s="14">
        <f>H17/$A17</f>
        <v>0.63328835227272717</v>
      </c>
    </row>
    <row r="18" spans="1:17" x14ac:dyDescent="0.4">
      <c r="A18" s="2">
        <v>48</v>
      </c>
      <c r="B18" s="16">
        <f>B4/2</f>
        <v>4.5125000000000002</v>
      </c>
      <c r="C18" s="16">
        <f>C4/2</f>
        <v>6.7687499999999998</v>
      </c>
      <c r="D18" s="16">
        <f>D4/2</f>
        <v>9.0250000000000004</v>
      </c>
      <c r="E18" s="16">
        <f>E4/2</f>
        <v>11.28125</v>
      </c>
      <c r="F18" s="16">
        <f>F4/2</f>
        <v>17.147500000000001</v>
      </c>
      <c r="G18" s="16">
        <f>G4/2</f>
        <v>22.5625</v>
      </c>
      <c r="H18" s="16">
        <f>H4/2</f>
        <v>29.331249999999997</v>
      </c>
      <c r="K18" s="14">
        <f t="shared" ref="K18:K25" si="17">B18/$A18</f>
        <v>9.4010416666666666E-2</v>
      </c>
      <c r="L18" s="14">
        <f t="shared" ref="L18:L25" si="18">D18/$A18</f>
        <v>0.18802083333333333</v>
      </c>
      <c r="M18" s="14">
        <f t="shared" ref="M18:M25" si="19">F18/$A18</f>
        <v>0.35723958333333333</v>
      </c>
      <c r="N18" s="14">
        <f t="shared" ref="N18:N25" si="20">E18/$A18</f>
        <v>0.23502604166666666</v>
      </c>
      <c r="O18" s="14">
        <f t="shared" ref="O18:O25" si="21">G18/$A18</f>
        <v>0.47005208333333331</v>
      </c>
      <c r="P18" s="14">
        <f t="shared" ref="P18:Q25" si="22">G18/$A18</f>
        <v>0.47005208333333331</v>
      </c>
      <c r="Q18" s="14">
        <f t="shared" si="22"/>
        <v>0.61106770833333324</v>
      </c>
    </row>
    <row r="19" spans="1:17" x14ac:dyDescent="0.4">
      <c r="A19" s="2">
        <v>52</v>
      </c>
      <c r="B19" s="16">
        <f>B5/2</f>
        <v>4.75</v>
      </c>
      <c r="C19" s="16">
        <f>C5/2</f>
        <v>7.125</v>
      </c>
      <c r="D19" s="16">
        <f>D5/2</f>
        <v>9.5</v>
      </c>
      <c r="E19" s="16">
        <f>E5/2</f>
        <v>11.875</v>
      </c>
      <c r="F19" s="16">
        <f>F5/2</f>
        <v>18.05</v>
      </c>
      <c r="G19" s="16">
        <f>G5/2</f>
        <v>23.75</v>
      </c>
      <c r="H19" s="16">
        <f>H5/2</f>
        <v>30.875</v>
      </c>
      <c r="K19" s="14">
        <f t="shared" si="17"/>
        <v>9.1346153846153841E-2</v>
      </c>
      <c r="L19" s="14">
        <f t="shared" si="18"/>
        <v>0.18269230769230768</v>
      </c>
      <c r="M19" s="14">
        <f t="shared" si="19"/>
        <v>0.3471153846153846</v>
      </c>
      <c r="N19" s="14">
        <f t="shared" si="20"/>
        <v>0.22836538461538461</v>
      </c>
      <c r="O19" s="14">
        <f t="shared" si="21"/>
        <v>0.45673076923076922</v>
      </c>
      <c r="P19" s="14">
        <f t="shared" si="22"/>
        <v>0.45673076923076922</v>
      </c>
      <c r="Q19" s="14">
        <f t="shared" si="22"/>
        <v>0.59375</v>
      </c>
    </row>
    <row r="20" spans="1:17" x14ac:dyDescent="0.4">
      <c r="A20" s="2">
        <v>56</v>
      </c>
      <c r="B20" s="16">
        <f>B6/2</f>
        <v>5</v>
      </c>
      <c r="C20" s="16">
        <f>C6/2</f>
        <v>7.5</v>
      </c>
      <c r="D20" s="16">
        <f>D6/2</f>
        <v>10</v>
      </c>
      <c r="E20" s="16">
        <f>E6/2</f>
        <v>12.5</v>
      </c>
      <c r="F20" s="16">
        <f>F6/2</f>
        <v>19</v>
      </c>
      <c r="G20" s="16">
        <f>G6/2</f>
        <v>25</v>
      </c>
      <c r="H20" s="16">
        <f>H6/2</f>
        <v>32.5</v>
      </c>
      <c r="K20" s="14">
        <f t="shared" si="17"/>
        <v>8.9285714285714288E-2</v>
      </c>
      <c r="L20" s="14">
        <f t="shared" si="18"/>
        <v>0.17857142857142858</v>
      </c>
      <c r="M20" s="14">
        <f t="shared" si="19"/>
        <v>0.3392857142857143</v>
      </c>
      <c r="N20" s="14">
        <f t="shared" si="20"/>
        <v>0.22321428571428573</v>
      </c>
      <c r="O20" s="14">
        <f t="shared" si="21"/>
        <v>0.44642857142857145</v>
      </c>
      <c r="P20" s="14">
        <f t="shared" si="22"/>
        <v>0.44642857142857145</v>
      </c>
      <c r="Q20" s="14">
        <f t="shared" si="22"/>
        <v>0.5803571428571429</v>
      </c>
    </row>
    <row r="21" spans="1:17" x14ac:dyDescent="0.4">
      <c r="A21" s="2">
        <v>60</v>
      </c>
      <c r="B21" s="16">
        <f>B7/2</f>
        <v>5.25</v>
      </c>
      <c r="C21" s="16">
        <f>C7/2</f>
        <v>7.875</v>
      </c>
      <c r="D21" s="16">
        <f>D7/2</f>
        <v>10.5</v>
      </c>
      <c r="E21" s="16">
        <f>E7/2</f>
        <v>13.125</v>
      </c>
      <c r="F21" s="16">
        <f>F7/2</f>
        <v>19.95</v>
      </c>
      <c r="G21" s="16">
        <f>G7/2</f>
        <v>26.25</v>
      </c>
      <c r="H21" s="16">
        <f>H7/2</f>
        <v>34.125</v>
      </c>
      <c r="K21" s="14">
        <f t="shared" si="17"/>
        <v>8.7499999999999994E-2</v>
      </c>
      <c r="L21" s="14">
        <f t="shared" si="18"/>
        <v>0.17499999999999999</v>
      </c>
      <c r="M21" s="14">
        <f t="shared" si="19"/>
        <v>0.33249999999999996</v>
      </c>
      <c r="N21" s="14">
        <f t="shared" si="20"/>
        <v>0.21875</v>
      </c>
      <c r="O21" s="14">
        <f t="shared" si="21"/>
        <v>0.4375</v>
      </c>
      <c r="P21" s="14">
        <f t="shared" si="22"/>
        <v>0.4375</v>
      </c>
      <c r="Q21" s="14">
        <f t="shared" si="22"/>
        <v>0.56874999999999998</v>
      </c>
    </row>
    <row r="22" spans="1:17" x14ac:dyDescent="0.4">
      <c r="A22" s="2">
        <v>67</v>
      </c>
      <c r="B22" s="16">
        <f>B8/2</f>
        <v>5.5125000000000002</v>
      </c>
      <c r="C22" s="16">
        <f>C8/2</f>
        <v>8.2687500000000007</v>
      </c>
      <c r="D22" s="16">
        <f>D8/2</f>
        <v>11.025</v>
      </c>
      <c r="E22" s="16">
        <f>E8/2</f>
        <v>13.78125</v>
      </c>
      <c r="F22" s="16">
        <f>F8/2</f>
        <v>20.947500000000002</v>
      </c>
      <c r="G22" s="16">
        <f>G8/2</f>
        <v>27.5625</v>
      </c>
      <c r="H22" s="16">
        <f>H8/2</f>
        <v>35.831250000000004</v>
      </c>
      <c r="K22" s="14">
        <f t="shared" si="17"/>
        <v>8.2276119402985071E-2</v>
      </c>
      <c r="L22" s="14">
        <f t="shared" si="18"/>
        <v>0.16455223880597014</v>
      </c>
      <c r="M22" s="14">
        <f t="shared" si="19"/>
        <v>0.31264925373134328</v>
      </c>
      <c r="N22" s="14">
        <f t="shared" si="20"/>
        <v>0.20569029850746268</v>
      </c>
      <c r="O22" s="14">
        <f t="shared" si="21"/>
        <v>0.41138059701492535</v>
      </c>
      <c r="P22" s="14">
        <f t="shared" si="22"/>
        <v>0.41138059701492535</v>
      </c>
      <c r="Q22" s="14">
        <f t="shared" si="22"/>
        <v>0.53479477611940307</v>
      </c>
    </row>
    <row r="23" spans="1:17" x14ac:dyDescent="0.4">
      <c r="A23" s="2">
        <v>75</v>
      </c>
      <c r="B23" s="16">
        <f>B9/2</f>
        <v>5.7881250000000009</v>
      </c>
      <c r="C23" s="16">
        <f>C9/2</f>
        <v>8.6821875000000013</v>
      </c>
      <c r="D23" s="16">
        <f>D9/2</f>
        <v>11.576250000000002</v>
      </c>
      <c r="E23" s="16">
        <f>E9/2</f>
        <v>14.4703125</v>
      </c>
      <c r="F23" s="16">
        <f>F9/2</f>
        <v>21.994875000000004</v>
      </c>
      <c r="G23" s="16">
        <f>G9/2</f>
        <v>28.940625000000001</v>
      </c>
      <c r="H23" s="16">
        <f>H9/2</f>
        <v>37.622812500000009</v>
      </c>
      <c r="K23" s="14">
        <f t="shared" si="17"/>
        <v>7.7175000000000007E-2</v>
      </c>
      <c r="L23" s="14">
        <f t="shared" si="18"/>
        <v>0.15435000000000001</v>
      </c>
      <c r="M23" s="14">
        <f t="shared" si="19"/>
        <v>0.29326500000000005</v>
      </c>
      <c r="N23" s="14">
        <f t="shared" si="20"/>
        <v>0.19293750000000001</v>
      </c>
      <c r="O23" s="14">
        <f t="shared" si="21"/>
        <v>0.38587500000000002</v>
      </c>
      <c r="P23" s="14">
        <f t="shared" si="22"/>
        <v>0.38587500000000002</v>
      </c>
      <c r="Q23" s="14">
        <f t="shared" si="22"/>
        <v>0.50163750000000007</v>
      </c>
    </row>
    <row r="24" spans="1:17" x14ac:dyDescent="0.4">
      <c r="A24" s="2">
        <v>82</v>
      </c>
      <c r="B24" s="16">
        <f>B10/2</f>
        <v>6.0775312500000007</v>
      </c>
      <c r="C24" s="16">
        <f>C10/2</f>
        <v>9.1162968750000015</v>
      </c>
      <c r="D24" s="16">
        <f>D10/2</f>
        <v>12.155062500000001</v>
      </c>
      <c r="E24" s="16">
        <f>E10/2</f>
        <v>15.193828125000001</v>
      </c>
      <c r="F24" s="16">
        <f>F10/2</f>
        <v>23.094618750000006</v>
      </c>
      <c r="G24" s="16">
        <f>G10/2</f>
        <v>30.387656250000003</v>
      </c>
      <c r="H24" s="16">
        <f>H10/2</f>
        <v>39.50395312500001</v>
      </c>
      <c r="K24" s="14">
        <f t="shared" si="17"/>
        <v>7.4116234756097576E-2</v>
      </c>
      <c r="L24" s="14">
        <f t="shared" si="18"/>
        <v>0.14823246951219515</v>
      </c>
      <c r="M24" s="14">
        <f t="shared" si="19"/>
        <v>0.2816416920731708</v>
      </c>
      <c r="N24" s="14">
        <f t="shared" si="20"/>
        <v>0.18529058689024391</v>
      </c>
      <c r="O24" s="14">
        <f t="shared" si="21"/>
        <v>0.37058117378048783</v>
      </c>
      <c r="P24" s="14">
        <f t="shared" si="22"/>
        <v>0.37058117378048783</v>
      </c>
      <c r="Q24" s="14">
        <f t="shared" si="22"/>
        <v>0.48175552591463427</v>
      </c>
    </row>
    <row r="25" spans="1:17" x14ac:dyDescent="0.4">
      <c r="A25" s="2">
        <v>90</v>
      </c>
      <c r="B25" s="16">
        <f>B11/2</f>
        <v>6.3814078125000009</v>
      </c>
      <c r="C25" s="16">
        <f>C11/2</f>
        <v>9.5721117187500013</v>
      </c>
      <c r="D25" s="16">
        <f>D11/2</f>
        <v>12.762815625000002</v>
      </c>
      <c r="E25" s="16">
        <f>E11/2</f>
        <v>15.953519531250002</v>
      </c>
      <c r="F25" s="16">
        <f>F11/2</f>
        <v>24.249349687500008</v>
      </c>
      <c r="G25" s="16">
        <f>G11/2</f>
        <v>31.907039062500004</v>
      </c>
      <c r="H25" s="16">
        <f>H11/2</f>
        <v>41.479150781250013</v>
      </c>
      <c r="K25" s="14">
        <f t="shared" si="17"/>
        <v>7.0904531250000014E-2</v>
      </c>
      <c r="L25" s="14">
        <f t="shared" si="18"/>
        <v>0.14180906250000003</v>
      </c>
      <c r="M25" s="14">
        <f t="shared" si="19"/>
        <v>0.2694372187500001</v>
      </c>
      <c r="N25" s="14">
        <f t="shared" si="20"/>
        <v>0.17726132812500003</v>
      </c>
      <c r="O25" s="14">
        <f t="shared" si="21"/>
        <v>0.35452265625000007</v>
      </c>
      <c r="P25" s="14">
        <f t="shared" si="22"/>
        <v>0.35452265625000007</v>
      </c>
      <c r="Q25" s="14">
        <f t="shared" si="22"/>
        <v>0.46087945312500012</v>
      </c>
    </row>
    <row r="26" spans="1:17" x14ac:dyDescent="0.4">
      <c r="A26" s="4"/>
      <c r="B26" s="16"/>
      <c r="C26" s="16"/>
      <c r="D26" s="16"/>
      <c r="E26" s="16"/>
      <c r="F26" s="16"/>
      <c r="G26" s="16"/>
      <c r="H26" s="16"/>
      <c r="I26" s="5"/>
    </row>
    <row r="27" spans="1:17" x14ac:dyDescent="0.4">
      <c r="A27" s="4"/>
      <c r="B27" s="16"/>
      <c r="C27" s="16"/>
      <c r="D27" s="16"/>
      <c r="E27" s="16"/>
      <c r="F27" s="16"/>
      <c r="G27" s="16"/>
      <c r="H27" s="16"/>
      <c r="I27" s="5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4" zoomScaleNormal="94" workbookViewId="0">
      <selection activeCell="J14" sqref="J14"/>
    </sheetView>
  </sheetViews>
  <sheetFormatPr defaultColWidth="8.69921875" defaultRowHeight="17.399999999999999" x14ac:dyDescent="0.4"/>
  <cols>
    <col min="1" max="16384" width="8.69921875" style="14"/>
  </cols>
  <sheetData>
    <row r="1" spans="1:18" ht="25.2" x14ac:dyDescent="0.4">
      <c r="A1" s="25" t="s">
        <v>89</v>
      </c>
      <c r="B1" s="26"/>
      <c r="C1" s="26"/>
      <c r="D1" s="26"/>
      <c r="E1" s="26"/>
      <c r="F1" s="26"/>
      <c r="G1" s="26"/>
      <c r="H1" s="26"/>
      <c r="K1" s="25" t="s">
        <v>90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</row>
    <row r="3" spans="1:18" x14ac:dyDescent="0.4">
      <c r="A3" s="3">
        <v>55</v>
      </c>
      <c r="B3" s="16">
        <f t="shared" ref="B3:H5" si="0">B4*0.95</f>
        <v>4.2868750000000002</v>
      </c>
      <c r="C3" s="16">
        <f t="shared" si="0"/>
        <v>10.288499999999997</v>
      </c>
      <c r="D3" s="16">
        <f t="shared" si="0"/>
        <v>15.432749999999997</v>
      </c>
      <c r="E3" s="16">
        <f t="shared" si="0"/>
        <v>20.576999999999995</v>
      </c>
      <c r="F3" s="16">
        <f t="shared" si="0"/>
        <v>28.293374999999994</v>
      </c>
      <c r="G3" s="16">
        <f t="shared" si="0"/>
        <v>36.00974999999999</v>
      </c>
      <c r="H3" s="16">
        <f t="shared" si="0"/>
        <v>45.440874999999984</v>
      </c>
      <c r="K3" s="14">
        <f t="shared" ref="K3:Q13" si="1">B3/$A3</f>
        <v>7.7943181818181828E-2</v>
      </c>
      <c r="L3" s="14">
        <f t="shared" si="1"/>
        <v>0.18706363636363632</v>
      </c>
      <c r="M3" s="14">
        <f t="shared" si="1"/>
        <v>0.28059545454545448</v>
      </c>
      <c r="N3" s="14">
        <f t="shared" si="1"/>
        <v>0.37412727272727264</v>
      </c>
      <c r="O3" s="14">
        <f t="shared" si="1"/>
        <v>0.51442499999999991</v>
      </c>
      <c r="P3" s="14">
        <f t="shared" si="1"/>
        <v>0.65472272727272707</v>
      </c>
      <c r="Q3" s="14">
        <f t="shared" si="1"/>
        <v>0.826197727272727</v>
      </c>
    </row>
    <row r="4" spans="1:18" x14ac:dyDescent="0.4">
      <c r="A4" s="3">
        <v>60</v>
      </c>
      <c r="B4" s="16">
        <f t="shared" si="0"/>
        <v>4.5125000000000002</v>
      </c>
      <c r="C4" s="16">
        <f t="shared" si="0"/>
        <v>10.829999999999998</v>
      </c>
      <c r="D4" s="16">
        <f t="shared" si="0"/>
        <v>16.244999999999997</v>
      </c>
      <c r="E4" s="16">
        <f t="shared" si="0"/>
        <v>21.659999999999997</v>
      </c>
      <c r="F4" s="16">
        <f t="shared" si="0"/>
        <v>29.782499999999995</v>
      </c>
      <c r="G4" s="16">
        <f t="shared" si="0"/>
        <v>37.904999999999994</v>
      </c>
      <c r="H4" s="16">
        <f t="shared" si="0"/>
        <v>47.832499999999989</v>
      </c>
      <c r="K4" s="14">
        <f t="shared" si="1"/>
        <v>7.5208333333333335E-2</v>
      </c>
      <c r="L4" s="14">
        <f t="shared" si="1"/>
        <v>0.18049999999999997</v>
      </c>
      <c r="M4" s="14">
        <f t="shared" si="1"/>
        <v>0.27074999999999994</v>
      </c>
      <c r="N4" s="14">
        <f t="shared" si="1"/>
        <v>0.36099999999999993</v>
      </c>
      <c r="O4" s="14">
        <f t="shared" si="1"/>
        <v>0.4963749999999999</v>
      </c>
      <c r="P4" s="14">
        <f t="shared" si="1"/>
        <v>0.63174999999999992</v>
      </c>
      <c r="Q4" s="14">
        <f t="shared" si="1"/>
        <v>0.79720833333333319</v>
      </c>
    </row>
    <row r="5" spans="1:18" x14ac:dyDescent="0.4">
      <c r="A5" s="3">
        <v>65</v>
      </c>
      <c r="B5" s="16">
        <f>B6*0.95</f>
        <v>4.75</v>
      </c>
      <c r="C5" s="16">
        <f t="shared" si="0"/>
        <v>11.399999999999999</v>
      </c>
      <c r="D5" s="16">
        <f t="shared" si="0"/>
        <v>17.099999999999998</v>
      </c>
      <c r="E5" s="16">
        <f t="shared" si="0"/>
        <v>22.799999999999997</v>
      </c>
      <c r="F5" s="16">
        <f t="shared" si="0"/>
        <v>31.349999999999998</v>
      </c>
      <c r="G5" s="16">
        <f t="shared" si="0"/>
        <v>39.9</v>
      </c>
      <c r="H5" s="16">
        <f t="shared" si="0"/>
        <v>50.349999999999994</v>
      </c>
      <c r="K5" s="14">
        <f t="shared" si="1"/>
        <v>7.3076923076923081E-2</v>
      </c>
      <c r="L5" s="14">
        <f t="shared" si="1"/>
        <v>0.17538461538461536</v>
      </c>
      <c r="M5" s="14">
        <f t="shared" si="1"/>
        <v>0.26307692307692304</v>
      </c>
      <c r="N5" s="14">
        <f t="shared" si="1"/>
        <v>0.35076923076923072</v>
      </c>
      <c r="O5" s="14">
        <f t="shared" si="1"/>
        <v>0.48230769230769227</v>
      </c>
      <c r="P5" s="14">
        <f t="shared" si="1"/>
        <v>0.61384615384615382</v>
      </c>
      <c r="Q5" s="14">
        <f t="shared" si="1"/>
        <v>0.77461538461538448</v>
      </c>
    </row>
    <row r="6" spans="1:18" x14ac:dyDescent="0.4">
      <c r="A6" s="3">
        <v>70</v>
      </c>
      <c r="B6" s="19">
        <v>5</v>
      </c>
      <c r="C6" s="19">
        <v>12</v>
      </c>
      <c r="D6" s="19">
        <v>18</v>
      </c>
      <c r="E6" s="19">
        <v>24</v>
      </c>
      <c r="F6" s="20">
        <v>33</v>
      </c>
      <c r="G6" s="19">
        <v>42</v>
      </c>
      <c r="H6" s="19">
        <v>53</v>
      </c>
      <c r="K6" s="14">
        <f t="shared" si="1"/>
        <v>7.1428571428571425E-2</v>
      </c>
      <c r="L6" s="14">
        <f t="shared" si="1"/>
        <v>0.17142857142857143</v>
      </c>
      <c r="M6" s="14">
        <f t="shared" si="1"/>
        <v>0.25714285714285712</v>
      </c>
      <c r="N6" s="14">
        <f t="shared" si="1"/>
        <v>0.34285714285714286</v>
      </c>
      <c r="O6" s="14">
        <f t="shared" si="1"/>
        <v>0.47142857142857142</v>
      </c>
      <c r="P6" s="14">
        <f t="shared" si="1"/>
        <v>0.6</v>
      </c>
      <c r="Q6" s="14">
        <f t="shared" si="1"/>
        <v>0.75714285714285712</v>
      </c>
    </row>
    <row r="7" spans="1:18" x14ac:dyDescent="0.4">
      <c r="A7" s="3">
        <v>75</v>
      </c>
      <c r="B7" s="18">
        <f>B6*1.05</f>
        <v>5.25</v>
      </c>
      <c r="C7" s="18">
        <f t="shared" ref="C7:H13" si="2">C6*1.05</f>
        <v>12.600000000000001</v>
      </c>
      <c r="D7" s="18">
        <f t="shared" si="2"/>
        <v>18.900000000000002</v>
      </c>
      <c r="E7" s="18">
        <f t="shared" si="2"/>
        <v>25.200000000000003</v>
      </c>
      <c r="F7" s="18">
        <f t="shared" si="2"/>
        <v>34.65</v>
      </c>
      <c r="G7" s="18">
        <f t="shared" si="2"/>
        <v>44.1</v>
      </c>
      <c r="H7" s="18">
        <f t="shared" si="2"/>
        <v>55.650000000000006</v>
      </c>
      <c r="K7" s="14">
        <f t="shared" si="1"/>
        <v>7.0000000000000007E-2</v>
      </c>
      <c r="L7" s="14">
        <f t="shared" si="1"/>
        <v>0.16800000000000001</v>
      </c>
      <c r="M7" s="14">
        <f t="shared" si="1"/>
        <v>0.252</v>
      </c>
      <c r="N7" s="14">
        <f t="shared" si="1"/>
        <v>0.33600000000000002</v>
      </c>
      <c r="O7" s="14">
        <f t="shared" si="1"/>
        <v>0.46199999999999997</v>
      </c>
      <c r="P7" s="14">
        <f t="shared" si="1"/>
        <v>0.58799999999999997</v>
      </c>
      <c r="Q7" s="14">
        <f t="shared" si="1"/>
        <v>0.7420000000000001</v>
      </c>
    </row>
    <row r="8" spans="1:18" x14ac:dyDescent="0.4">
      <c r="A8" s="3">
        <v>82</v>
      </c>
      <c r="B8" s="18">
        <f t="shared" ref="B8:B13" si="3">B7*1.05</f>
        <v>5.5125000000000002</v>
      </c>
      <c r="C8" s="18">
        <f t="shared" si="2"/>
        <v>13.230000000000002</v>
      </c>
      <c r="D8" s="18">
        <f t="shared" si="2"/>
        <v>19.845000000000002</v>
      </c>
      <c r="E8" s="18">
        <f t="shared" si="2"/>
        <v>26.460000000000004</v>
      </c>
      <c r="F8" s="18">
        <f t="shared" si="2"/>
        <v>36.3825</v>
      </c>
      <c r="G8" s="18">
        <f t="shared" si="2"/>
        <v>46.305000000000007</v>
      </c>
      <c r="H8" s="18">
        <f t="shared" si="2"/>
        <v>58.432500000000012</v>
      </c>
      <c r="K8" s="14">
        <f t="shared" si="1"/>
        <v>6.7225609756097565E-2</v>
      </c>
      <c r="L8" s="14">
        <f t="shared" si="1"/>
        <v>0.16134146341463418</v>
      </c>
      <c r="M8" s="14">
        <f t="shared" si="1"/>
        <v>0.24201219512195124</v>
      </c>
      <c r="N8" s="14">
        <f t="shared" si="1"/>
        <v>0.32268292682926836</v>
      </c>
      <c r="O8" s="14">
        <f t="shared" si="1"/>
        <v>0.44368902439024388</v>
      </c>
      <c r="P8" s="14">
        <f t="shared" si="1"/>
        <v>0.56469512195121963</v>
      </c>
      <c r="Q8" s="14">
        <f t="shared" si="1"/>
        <v>0.71259146341463431</v>
      </c>
    </row>
    <row r="9" spans="1:18" x14ac:dyDescent="0.4">
      <c r="A9" s="3">
        <v>90</v>
      </c>
      <c r="B9" s="18">
        <f t="shared" si="3"/>
        <v>5.7881250000000009</v>
      </c>
      <c r="C9" s="18">
        <f t="shared" si="2"/>
        <v>13.891500000000002</v>
      </c>
      <c r="D9" s="18">
        <f t="shared" si="2"/>
        <v>20.837250000000004</v>
      </c>
      <c r="E9" s="18">
        <f t="shared" si="2"/>
        <v>27.783000000000005</v>
      </c>
      <c r="F9" s="18">
        <f t="shared" si="2"/>
        <v>38.201625</v>
      </c>
      <c r="G9" s="18">
        <f t="shared" si="2"/>
        <v>48.620250000000006</v>
      </c>
      <c r="H9" s="18">
        <f t="shared" si="2"/>
        <v>61.354125000000018</v>
      </c>
      <c r="K9" s="14">
        <f t="shared" si="1"/>
        <v>6.4312500000000009E-2</v>
      </c>
      <c r="L9" s="14">
        <f t="shared" si="1"/>
        <v>0.15435000000000001</v>
      </c>
      <c r="M9" s="14">
        <f t="shared" si="1"/>
        <v>0.23152500000000004</v>
      </c>
      <c r="N9" s="14">
        <f t="shared" si="1"/>
        <v>0.30870000000000003</v>
      </c>
      <c r="O9" s="14">
        <f t="shared" si="1"/>
        <v>0.42446250000000002</v>
      </c>
      <c r="P9" s="14">
        <f t="shared" si="1"/>
        <v>0.54022500000000007</v>
      </c>
      <c r="Q9" s="14">
        <f t="shared" si="1"/>
        <v>0.68171250000000017</v>
      </c>
    </row>
    <row r="10" spans="1:18" x14ac:dyDescent="0.4">
      <c r="A10" s="3">
        <v>100</v>
      </c>
      <c r="B10" s="18">
        <f t="shared" si="3"/>
        <v>6.0775312500000007</v>
      </c>
      <c r="C10" s="18">
        <f t="shared" si="2"/>
        <v>14.586075000000003</v>
      </c>
      <c r="D10" s="18">
        <f t="shared" si="2"/>
        <v>21.879112500000005</v>
      </c>
      <c r="E10" s="18">
        <f t="shared" si="2"/>
        <v>29.172150000000006</v>
      </c>
      <c r="F10" s="18">
        <f t="shared" si="2"/>
        <v>40.111706250000005</v>
      </c>
      <c r="G10" s="18">
        <f t="shared" si="2"/>
        <v>51.051262500000007</v>
      </c>
      <c r="H10" s="18">
        <f t="shared" si="2"/>
        <v>64.421831250000025</v>
      </c>
      <c r="K10" s="14">
        <f t="shared" si="1"/>
        <v>6.0775312500000005E-2</v>
      </c>
      <c r="L10" s="14">
        <f t="shared" si="1"/>
        <v>0.14586075000000004</v>
      </c>
      <c r="M10" s="14">
        <f t="shared" si="1"/>
        <v>0.21879112500000006</v>
      </c>
      <c r="N10" s="14">
        <f t="shared" si="1"/>
        <v>0.29172150000000008</v>
      </c>
      <c r="O10" s="14">
        <f t="shared" si="1"/>
        <v>0.40111706250000007</v>
      </c>
      <c r="P10" s="14">
        <f t="shared" si="1"/>
        <v>0.51051262500000005</v>
      </c>
      <c r="Q10" s="14">
        <f t="shared" si="1"/>
        <v>0.64421831250000028</v>
      </c>
    </row>
    <row r="11" spans="1:18" x14ac:dyDescent="0.4">
      <c r="A11" s="3">
        <v>110</v>
      </c>
      <c r="B11" s="18">
        <f t="shared" si="3"/>
        <v>6.3814078125000009</v>
      </c>
      <c r="C11" s="18">
        <f t="shared" si="2"/>
        <v>15.315378750000004</v>
      </c>
      <c r="D11" s="18">
        <f t="shared" si="2"/>
        <v>22.973068125000005</v>
      </c>
      <c r="E11" s="18">
        <f t="shared" si="2"/>
        <v>30.630757500000009</v>
      </c>
      <c r="F11" s="18">
        <f t="shared" si="2"/>
        <v>42.117291562500007</v>
      </c>
      <c r="G11" s="18">
        <f t="shared" si="2"/>
        <v>53.603825625000013</v>
      </c>
      <c r="H11" s="18">
        <f t="shared" si="2"/>
        <v>67.642922812500032</v>
      </c>
      <c r="K11" s="14">
        <f t="shared" si="1"/>
        <v>5.8012798295454554E-2</v>
      </c>
      <c r="L11" s="14">
        <f t="shared" si="1"/>
        <v>0.13923071590909095</v>
      </c>
      <c r="M11" s="14">
        <f t="shared" si="1"/>
        <v>0.20884607386363641</v>
      </c>
      <c r="N11" s="14">
        <f t="shared" si="1"/>
        <v>0.27846143181818189</v>
      </c>
      <c r="O11" s="14">
        <f t="shared" si="1"/>
        <v>0.38288446875000004</v>
      </c>
      <c r="P11" s="14">
        <f t="shared" si="1"/>
        <v>0.4873075056818183</v>
      </c>
      <c r="Q11" s="14">
        <f t="shared" si="1"/>
        <v>0.61493566193181848</v>
      </c>
    </row>
    <row r="12" spans="1:18" x14ac:dyDescent="0.4">
      <c r="A12" s="3">
        <v>120</v>
      </c>
      <c r="B12" s="18">
        <f t="shared" si="3"/>
        <v>6.7004782031250016</v>
      </c>
      <c r="C12" s="18">
        <f t="shared" si="2"/>
        <v>16.081147687500007</v>
      </c>
      <c r="D12" s="18">
        <f t="shared" si="2"/>
        <v>24.121721531250007</v>
      </c>
      <c r="E12" s="18">
        <f t="shared" si="2"/>
        <v>32.162295375000014</v>
      </c>
      <c r="F12" s="18">
        <f t="shared" si="2"/>
        <v>44.223156140625008</v>
      </c>
      <c r="G12" s="18">
        <f t="shared" si="2"/>
        <v>56.284016906250017</v>
      </c>
      <c r="H12" s="18">
        <f t="shared" si="2"/>
        <v>71.025068953125043</v>
      </c>
      <c r="K12" s="14">
        <f t="shared" si="1"/>
        <v>5.5837318359375013E-2</v>
      </c>
      <c r="L12" s="14">
        <f t="shared" si="1"/>
        <v>0.13400956406250006</v>
      </c>
      <c r="M12" s="14">
        <f t="shared" si="1"/>
        <v>0.20101434609375005</v>
      </c>
      <c r="N12" s="14">
        <f t="shared" si="1"/>
        <v>0.26801912812500012</v>
      </c>
      <c r="O12" s="14">
        <f t="shared" si="1"/>
        <v>0.36852630117187507</v>
      </c>
      <c r="P12" s="14">
        <f t="shared" si="1"/>
        <v>0.46903347421875013</v>
      </c>
      <c r="Q12" s="14">
        <f t="shared" si="1"/>
        <v>0.59187557460937534</v>
      </c>
    </row>
    <row r="13" spans="1:18" x14ac:dyDescent="0.4">
      <c r="A13" s="3">
        <v>130</v>
      </c>
      <c r="B13" s="18">
        <f t="shared" si="3"/>
        <v>7.0355021132812521</v>
      </c>
      <c r="C13" s="18">
        <f t="shared" si="2"/>
        <v>16.885205071875006</v>
      </c>
      <c r="D13" s="18">
        <f t="shared" si="2"/>
        <v>25.32780760781251</v>
      </c>
      <c r="E13" s="18">
        <f t="shared" si="2"/>
        <v>33.770410143750013</v>
      </c>
      <c r="F13" s="18">
        <f t="shared" si="2"/>
        <v>46.434313947656257</v>
      </c>
      <c r="G13" s="18">
        <f t="shared" si="2"/>
        <v>59.098217751562522</v>
      </c>
      <c r="H13" s="18">
        <f t="shared" si="2"/>
        <v>74.576322400781294</v>
      </c>
      <c r="K13" s="14">
        <f t="shared" si="1"/>
        <v>5.4119247025240402E-2</v>
      </c>
      <c r="L13" s="14">
        <f t="shared" si="1"/>
        <v>0.12988619286057698</v>
      </c>
      <c r="M13" s="14">
        <f t="shared" si="1"/>
        <v>0.19482928929086546</v>
      </c>
      <c r="N13" s="14">
        <f t="shared" si="1"/>
        <v>0.25977238572115396</v>
      </c>
      <c r="O13" s="14">
        <f t="shared" si="1"/>
        <v>0.35718703036658661</v>
      </c>
      <c r="P13" s="14">
        <f t="shared" si="1"/>
        <v>0.45460167501201942</v>
      </c>
      <c r="Q13" s="14">
        <f t="shared" si="1"/>
        <v>0.57366401846754844</v>
      </c>
    </row>
    <row r="15" spans="1:18" ht="27.6" x14ac:dyDescent="0.4">
      <c r="A15" s="25" t="s">
        <v>91</v>
      </c>
      <c r="B15" s="26"/>
      <c r="C15" s="26"/>
      <c r="D15" s="26"/>
      <c r="E15" s="26"/>
      <c r="F15" s="26"/>
      <c r="G15" s="26"/>
      <c r="H15" s="26"/>
      <c r="K15" s="27" t="s">
        <v>92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</row>
    <row r="17" spans="1:17" x14ac:dyDescent="0.4">
      <c r="A17" s="2">
        <v>44</v>
      </c>
      <c r="B17" s="16">
        <f>B3/2</f>
        <v>2.1434375000000001</v>
      </c>
      <c r="C17" s="16">
        <f>C3/2</f>
        <v>5.1442499999999987</v>
      </c>
      <c r="D17" s="16">
        <f>D3/2</f>
        <v>7.7163749999999984</v>
      </c>
      <c r="E17" s="16">
        <f>E3/2</f>
        <v>10.288499999999997</v>
      </c>
      <c r="F17" s="16">
        <f>F3/2</f>
        <v>14.146687499999997</v>
      </c>
      <c r="G17" s="16">
        <f>G3/2</f>
        <v>18.004874999999995</v>
      </c>
      <c r="H17" s="16">
        <f>H3/2</f>
        <v>22.720437499999992</v>
      </c>
      <c r="K17" s="14">
        <f>B17/$A17</f>
        <v>4.8714488636363636E-2</v>
      </c>
      <c r="L17" s="14">
        <f>D17/$A17</f>
        <v>0.17537215909090906</v>
      </c>
      <c r="M17" s="14">
        <f>F17/$A17</f>
        <v>0.32151562499999992</v>
      </c>
      <c r="N17" s="14">
        <f>E17/$A17</f>
        <v>0.2338295454545454</v>
      </c>
      <c r="O17" s="14">
        <f>G17/$A17</f>
        <v>0.4092017045454544</v>
      </c>
      <c r="P17" s="14">
        <f>G17/$A17</f>
        <v>0.4092017045454544</v>
      </c>
      <c r="Q17" s="14">
        <f>H17/$A17</f>
        <v>0.51637357954545438</v>
      </c>
    </row>
    <row r="18" spans="1:17" x14ac:dyDescent="0.4">
      <c r="A18" s="2">
        <v>48</v>
      </c>
      <c r="B18" s="16">
        <f>B4/2</f>
        <v>2.2562500000000001</v>
      </c>
      <c r="C18" s="16">
        <f>C4/2</f>
        <v>5.4149999999999991</v>
      </c>
      <c r="D18" s="16">
        <f>D4/2</f>
        <v>8.1224999999999987</v>
      </c>
      <c r="E18" s="16">
        <f>E4/2</f>
        <v>10.829999999999998</v>
      </c>
      <c r="F18" s="16">
        <f>F4/2</f>
        <v>14.891249999999998</v>
      </c>
      <c r="G18" s="16">
        <f>G4/2</f>
        <v>18.952499999999997</v>
      </c>
      <c r="H18" s="16">
        <f>H4/2</f>
        <v>23.916249999999994</v>
      </c>
      <c r="K18" s="14">
        <f t="shared" ref="K18:K25" si="4">B18/$A18</f>
        <v>4.7005208333333333E-2</v>
      </c>
      <c r="L18" s="14">
        <f t="shared" ref="L18:L25" si="5">D18/$A18</f>
        <v>0.16921874999999997</v>
      </c>
      <c r="M18" s="14">
        <f t="shared" ref="M18:M25" si="6">F18/$A18</f>
        <v>0.31023437499999995</v>
      </c>
      <c r="N18" s="14">
        <f t="shared" ref="N18:N25" si="7">E18/$A18</f>
        <v>0.22562499999999996</v>
      </c>
      <c r="O18" s="14">
        <f t="shared" ref="O18:O25" si="8">G18/$A18</f>
        <v>0.39484374999999994</v>
      </c>
      <c r="P18" s="14">
        <f t="shared" ref="P18:Q25" si="9">G18/$A18</f>
        <v>0.39484374999999994</v>
      </c>
      <c r="Q18" s="14">
        <f t="shared" si="9"/>
        <v>0.4982552083333332</v>
      </c>
    </row>
    <row r="19" spans="1:17" x14ac:dyDescent="0.4">
      <c r="A19" s="2">
        <v>52</v>
      </c>
      <c r="B19" s="16">
        <f>B5/2</f>
        <v>2.375</v>
      </c>
      <c r="C19" s="16">
        <f>C5/2</f>
        <v>5.6999999999999993</v>
      </c>
      <c r="D19" s="16">
        <f>D5/2</f>
        <v>8.5499999999999989</v>
      </c>
      <c r="E19" s="16">
        <f>E5/2</f>
        <v>11.399999999999999</v>
      </c>
      <c r="F19" s="16">
        <f>F5/2</f>
        <v>15.674999999999999</v>
      </c>
      <c r="G19" s="16">
        <f>G5/2</f>
        <v>19.95</v>
      </c>
      <c r="H19" s="16">
        <f>H5/2</f>
        <v>25.174999999999997</v>
      </c>
      <c r="K19" s="14">
        <f t="shared" si="4"/>
        <v>4.567307692307692E-2</v>
      </c>
      <c r="L19" s="14">
        <f t="shared" si="5"/>
        <v>0.16442307692307689</v>
      </c>
      <c r="M19" s="14">
        <f t="shared" si="6"/>
        <v>0.30144230769230768</v>
      </c>
      <c r="N19" s="14">
        <f t="shared" si="7"/>
        <v>0.2192307692307692</v>
      </c>
      <c r="O19" s="14">
        <f t="shared" si="8"/>
        <v>0.38365384615384612</v>
      </c>
      <c r="P19" s="14">
        <f t="shared" si="9"/>
        <v>0.38365384615384612</v>
      </c>
      <c r="Q19" s="14">
        <f t="shared" si="9"/>
        <v>0.48413461538461533</v>
      </c>
    </row>
    <row r="20" spans="1:17" x14ac:dyDescent="0.4">
      <c r="A20" s="2">
        <v>56</v>
      </c>
      <c r="B20" s="16">
        <f>B6/2</f>
        <v>2.5</v>
      </c>
      <c r="C20" s="16">
        <f>C6/2</f>
        <v>6</v>
      </c>
      <c r="D20" s="16">
        <f>D6/2</f>
        <v>9</v>
      </c>
      <c r="E20" s="16">
        <f>E6/2</f>
        <v>12</v>
      </c>
      <c r="F20" s="16">
        <f>F6/2</f>
        <v>16.5</v>
      </c>
      <c r="G20" s="16">
        <f>G6/2</f>
        <v>21</v>
      </c>
      <c r="H20" s="16">
        <f>H6/2</f>
        <v>26.5</v>
      </c>
      <c r="K20" s="14">
        <f t="shared" si="4"/>
        <v>4.4642857142857144E-2</v>
      </c>
      <c r="L20" s="14">
        <f t="shared" si="5"/>
        <v>0.16071428571428573</v>
      </c>
      <c r="M20" s="14">
        <f t="shared" si="6"/>
        <v>0.29464285714285715</v>
      </c>
      <c r="N20" s="14">
        <f t="shared" si="7"/>
        <v>0.21428571428571427</v>
      </c>
      <c r="O20" s="14">
        <f t="shared" si="8"/>
        <v>0.375</v>
      </c>
      <c r="P20" s="14">
        <f t="shared" si="9"/>
        <v>0.375</v>
      </c>
      <c r="Q20" s="14">
        <f t="shared" si="9"/>
        <v>0.4732142857142857</v>
      </c>
    </row>
    <row r="21" spans="1:17" x14ac:dyDescent="0.4">
      <c r="A21" s="2">
        <v>60</v>
      </c>
      <c r="B21" s="16">
        <f>B7/2</f>
        <v>2.625</v>
      </c>
      <c r="C21" s="16">
        <f>C7/2</f>
        <v>6.3000000000000007</v>
      </c>
      <c r="D21" s="16">
        <f>D7/2</f>
        <v>9.4500000000000011</v>
      </c>
      <c r="E21" s="16">
        <f>E7/2</f>
        <v>12.600000000000001</v>
      </c>
      <c r="F21" s="16">
        <f>F7/2</f>
        <v>17.324999999999999</v>
      </c>
      <c r="G21" s="16">
        <f>G7/2</f>
        <v>22.05</v>
      </c>
      <c r="H21" s="16">
        <f>H7/2</f>
        <v>27.825000000000003</v>
      </c>
      <c r="K21" s="14">
        <f t="shared" si="4"/>
        <v>4.3749999999999997E-2</v>
      </c>
      <c r="L21" s="14">
        <f t="shared" si="5"/>
        <v>0.15750000000000003</v>
      </c>
      <c r="M21" s="14">
        <f t="shared" si="6"/>
        <v>0.28875000000000001</v>
      </c>
      <c r="N21" s="14">
        <f t="shared" si="7"/>
        <v>0.21000000000000002</v>
      </c>
      <c r="O21" s="14">
        <f t="shared" si="8"/>
        <v>0.36749999999999999</v>
      </c>
      <c r="P21" s="14">
        <f t="shared" si="9"/>
        <v>0.36749999999999999</v>
      </c>
      <c r="Q21" s="14">
        <f t="shared" si="9"/>
        <v>0.46375000000000005</v>
      </c>
    </row>
    <row r="22" spans="1:17" x14ac:dyDescent="0.4">
      <c r="A22" s="2">
        <v>67</v>
      </c>
      <c r="B22" s="16">
        <f>B8/2</f>
        <v>2.7562500000000001</v>
      </c>
      <c r="C22" s="16">
        <f>C8/2</f>
        <v>6.6150000000000011</v>
      </c>
      <c r="D22" s="16">
        <f>D8/2</f>
        <v>9.9225000000000012</v>
      </c>
      <c r="E22" s="16">
        <f>E8/2</f>
        <v>13.230000000000002</v>
      </c>
      <c r="F22" s="16">
        <f>F8/2</f>
        <v>18.19125</v>
      </c>
      <c r="G22" s="16">
        <f>G8/2</f>
        <v>23.152500000000003</v>
      </c>
      <c r="H22" s="16">
        <f>H8/2</f>
        <v>29.216250000000006</v>
      </c>
      <c r="K22" s="14">
        <f t="shared" si="4"/>
        <v>4.1138059701492535E-2</v>
      </c>
      <c r="L22" s="14">
        <f t="shared" si="5"/>
        <v>0.14809701492537317</v>
      </c>
      <c r="M22" s="14">
        <f t="shared" si="6"/>
        <v>0.27151119402985074</v>
      </c>
      <c r="N22" s="14">
        <f t="shared" si="7"/>
        <v>0.1974626865671642</v>
      </c>
      <c r="O22" s="14">
        <f t="shared" si="8"/>
        <v>0.34555970149253734</v>
      </c>
      <c r="P22" s="14">
        <f t="shared" si="9"/>
        <v>0.34555970149253734</v>
      </c>
      <c r="Q22" s="14">
        <f t="shared" si="9"/>
        <v>0.436063432835821</v>
      </c>
    </row>
    <row r="23" spans="1:17" x14ac:dyDescent="0.4">
      <c r="A23" s="2">
        <v>75</v>
      </c>
      <c r="B23" s="16">
        <f>B9/2</f>
        <v>2.8940625000000004</v>
      </c>
      <c r="C23" s="16">
        <f>C9/2</f>
        <v>6.9457500000000012</v>
      </c>
      <c r="D23" s="16">
        <f>D9/2</f>
        <v>10.418625000000002</v>
      </c>
      <c r="E23" s="16">
        <f>E9/2</f>
        <v>13.891500000000002</v>
      </c>
      <c r="F23" s="16">
        <f>F9/2</f>
        <v>19.1008125</v>
      </c>
      <c r="G23" s="16">
        <f>G9/2</f>
        <v>24.310125000000003</v>
      </c>
      <c r="H23" s="16">
        <f>H9/2</f>
        <v>30.677062500000009</v>
      </c>
      <c r="K23" s="14">
        <f t="shared" si="4"/>
        <v>3.8587500000000004E-2</v>
      </c>
      <c r="L23" s="14">
        <f t="shared" si="5"/>
        <v>0.13891500000000004</v>
      </c>
      <c r="M23" s="14">
        <f t="shared" si="6"/>
        <v>0.2546775</v>
      </c>
      <c r="N23" s="14">
        <f t="shared" si="7"/>
        <v>0.18522000000000002</v>
      </c>
      <c r="O23" s="14">
        <f t="shared" si="8"/>
        <v>0.32413500000000006</v>
      </c>
      <c r="P23" s="14">
        <f t="shared" si="9"/>
        <v>0.32413500000000006</v>
      </c>
      <c r="Q23" s="14">
        <f t="shared" si="9"/>
        <v>0.4090275000000001</v>
      </c>
    </row>
    <row r="24" spans="1:17" x14ac:dyDescent="0.4">
      <c r="A24" s="2">
        <v>82</v>
      </c>
      <c r="B24" s="16">
        <f>B10/2</f>
        <v>3.0387656250000004</v>
      </c>
      <c r="C24" s="16">
        <f>C10/2</f>
        <v>7.2930375000000014</v>
      </c>
      <c r="D24" s="16">
        <f>D10/2</f>
        <v>10.939556250000003</v>
      </c>
      <c r="E24" s="16">
        <f>E10/2</f>
        <v>14.586075000000003</v>
      </c>
      <c r="F24" s="16">
        <f>F10/2</f>
        <v>20.055853125000002</v>
      </c>
      <c r="G24" s="16">
        <f>G10/2</f>
        <v>25.525631250000004</v>
      </c>
      <c r="H24" s="16">
        <f>H10/2</f>
        <v>32.210915625000013</v>
      </c>
      <c r="K24" s="14">
        <f t="shared" si="4"/>
        <v>3.7058117378048788E-2</v>
      </c>
      <c r="L24" s="14">
        <f t="shared" si="5"/>
        <v>0.13340922256097565</v>
      </c>
      <c r="M24" s="14">
        <f t="shared" si="6"/>
        <v>0.24458357469512199</v>
      </c>
      <c r="N24" s="14">
        <f t="shared" si="7"/>
        <v>0.17787896341463419</v>
      </c>
      <c r="O24" s="14">
        <f t="shared" si="8"/>
        <v>0.31128818597560981</v>
      </c>
      <c r="P24" s="14">
        <f t="shared" si="9"/>
        <v>0.31128818597560981</v>
      </c>
      <c r="Q24" s="14">
        <f t="shared" si="9"/>
        <v>0.39281604420731725</v>
      </c>
    </row>
    <row r="25" spans="1:17" x14ac:dyDescent="0.4">
      <c r="A25" s="2">
        <v>90</v>
      </c>
      <c r="B25" s="16">
        <f>B11/2</f>
        <v>3.1907039062500004</v>
      </c>
      <c r="C25" s="16">
        <f>C11/2</f>
        <v>7.6576893750000021</v>
      </c>
      <c r="D25" s="16">
        <f>D11/2</f>
        <v>11.486534062500002</v>
      </c>
      <c r="E25" s="16">
        <f>E11/2</f>
        <v>15.315378750000004</v>
      </c>
      <c r="F25" s="16">
        <f>F11/2</f>
        <v>21.058645781250004</v>
      </c>
      <c r="G25" s="16">
        <f>G11/2</f>
        <v>26.801912812500007</v>
      </c>
      <c r="H25" s="16">
        <f>H11/2</f>
        <v>33.821461406250016</v>
      </c>
      <c r="K25" s="14">
        <f t="shared" si="4"/>
        <v>3.5452265625000007E-2</v>
      </c>
      <c r="L25" s="14">
        <f t="shared" si="5"/>
        <v>0.12762815625000001</v>
      </c>
      <c r="M25" s="14">
        <f t="shared" si="6"/>
        <v>0.23398495312500003</v>
      </c>
      <c r="N25" s="14">
        <f t="shared" si="7"/>
        <v>0.17017087500000005</v>
      </c>
      <c r="O25" s="14">
        <f t="shared" si="8"/>
        <v>0.29779903125000007</v>
      </c>
      <c r="P25" s="14">
        <f t="shared" si="9"/>
        <v>0.29779903125000007</v>
      </c>
      <c r="Q25" s="14">
        <f t="shared" si="9"/>
        <v>0.3757940156250002</v>
      </c>
    </row>
    <row r="26" spans="1:17" x14ac:dyDescent="0.4">
      <c r="A26" s="4"/>
      <c r="B26" s="16"/>
      <c r="C26" s="16"/>
      <c r="D26" s="16"/>
      <c r="E26" s="16"/>
      <c r="F26" s="16"/>
      <c r="G26" s="16"/>
      <c r="H26" s="16"/>
      <c r="I26" s="5"/>
    </row>
    <row r="27" spans="1:17" x14ac:dyDescent="0.4">
      <c r="A27" s="4"/>
      <c r="B27" s="16"/>
      <c r="C27" s="16"/>
      <c r="D27" s="16"/>
      <c r="E27" s="16"/>
      <c r="F27" s="16"/>
      <c r="G27" s="16"/>
      <c r="H27" s="16"/>
      <c r="I27" s="5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4" zoomScaleNormal="94" workbookViewId="0">
      <selection activeCell="J14" sqref="J14"/>
    </sheetView>
  </sheetViews>
  <sheetFormatPr defaultRowHeight="17.399999999999999" x14ac:dyDescent="0.4"/>
  <sheetData>
    <row r="1" spans="1:18" ht="25.2" x14ac:dyDescent="0.4">
      <c r="A1" s="25" t="s">
        <v>93</v>
      </c>
      <c r="B1" s="26"/>
      <c r="C1" s="26"/>
      <c r="D1" s="26"/>
      <c r="E1" s="26"/>
      <c r="F1" s="26"/>
      <c r="G1" s="26"/>
      <c r="H1" s="26"/>
      <c r="I1" s="14"/>
      <c r="J1" s="14"/>
      <c r="K1" s="25" t="s">
        <v>94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I2" s="14"/>
      <c r="J2" s="14"/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  <c r="R2" s="14"/>
    </row>
    <row r="3" spans="1:18" x14ac:dyDescent="0.4">
      <c r="A3" s="3">
        <v>55</v>
      </c>
      <c r="B3" s="16">
        <f t="shared" ref="B3:H5" si="0">B4*0.95</f>
        <v>25.721249999999998</v>
      </c>
      <c r="C3" s="16">
        <f t="shared" si="0"/>
        <v>34.295000000000002</v>
      </c>
      <c r="D3" s="16">
        <f t="shared" si="0"/>
        <v>42.868749999999999</v>
      </c>
      <c r="E3" s="16">
        <f t="shared" si="0"/>
        <v>51.442499999999995</v>
      </c>
      <c r="F3" s="16">
        <f t="shared" si="0"/>
        <v>60.016249999999992</v>
      </c>
      <c r="G3" s="16">
        <f t="shared" si="0"/>
        <v>68.59</v>
      </c>
      <c r="H3" s="16">
        <f t="shared" si="0"/>
        <v>77.163749999999993</v>
      </c>
      <c r="I3" s="14"/>
      <c r="J3" s="14"/>
      <c r="K3" s="14">
        <f t="shared" ref="K3:Q13" si="1">B3/$A3</f>
        <v>0.46765909090909086</v>
      </c>
      <c r="L3" s="14">
        <f t="shared" si="1"/>
        <v>0.62354545454545462</v>
      </c>
      <c r="M3" s="14">
        <f t="shared" si="1"/>
        <v>0.77943181818181817</v>
      </c>
      <c r="N3" s="14">
        <f t="shared" si="1"/>
        <v>0.93531818181818172</v>
      </c>
      <c r="O3" s="14">
        <f t="shared" si="1"/>
        <v>1.0912045454545454</v>
      </c>
      <c r="P3" s="14">
        <f t="shared" si="1"/>
        <v>1.2470909090909092</v>
      </c>
      <c r="Q3" s="14">
        <f t="shared" si="1"/>
        <v>1.4029772727272727</v>
      </c>
      <c r="R3" s="14"/>
    </row>
    <row r="4" spans="1:18" x14ac:dyDescent="0.4">
      <c r="A4" s="3">
        <v>60</v>
      </c>
      <c r="B4" s="16">
        <f t="shared" si="0"/>
        <v>27.074999999999999</v>
      </c>
      <c r="C4" s="16">
        <f t="shared" si="0"/>
        <v>36.1</v>
      </c>
      <c r="D4" s="16">
        <f t="shared" si="0"/>
        <v>45.125</v>
      </c>
      <c r="E4" s="16">
        <f t="shared" si="0"/>
        <v>54.15</v>
      </c>
      <c r="F4" s="16">
        <f t="shared" si="0"/>
        <v>63.174999999999997</v>
      </c>
      <c r="G4" s="16">
        <f t="shared" si="0"/>
        <v>72.2</v>
      </c>
      <c r="H4" s="16">
        <f t="shared" si="0"/>
        <v>81.224999999999994</v>
      </c>
      <c r="I4" s="14"/>
      <c r="J4" s="14"/>
      <c r="K4" s="14">
        <f t="shared" si="1"/>
        <v>0.45124999999999998</v>
      </c>
      <c r="L4" s="14">
        <f t="shared" si="1"/>
        <v>0.60166666666666668</v>
      </c>
      <c r="M4" s="14">
        <f t="shared" si="1"/>
        <v>0.75208333333333333</v>
      </c>
      <c r="N4" s="14">
        <f t="shared" si="1"/>
        <v>0.90249999999999997</v>
      </c>
      <c r="O4" s="14">
        <f t="shared" si="1"/>
        <v>1.0529166666666667</v>
      </c>
      <c r="P4" s="14">
        <f t="shared" si="1"/>
        <v>1.2033333333333334</v>
      </c>
      <c r="Q4" s="14">
        <f t="shared" si="1"/>
        <v>1.35375</v>
      </c>
      <c r="R4" s="14"/>
    </row>
    <row r="5" spans="1:18" x14ac:dyDescent="0.4">
      <c r="A5" s="3">
        <v>65</v>
      </c>
      <c r="B5" s="16">
        <f>B6*0.95</f>
        <v>28.5</v>
      </c>
      <c r="C5" s="16">
        <f t="shared" si="0"/>
        <v>38</v>
      </c>
      <c r="D5" s="16">
        <f t="shared" si="0"/>
        <v>47.5</v>
      </c>
      <c r="E5" s="16">
        <f t="shared" si="0"/>
        <v>57</v>
      </c>
      <c r="F5" s="16">
        <f t="shared" si="0"/>
        <v>66.5</v>
      </c>
      <c r="G5" s="16">
        <f t="shared" si="0"/>
        <v>76</v>
      </c>
      <c r="H5" s="16">
        <f t="shared" si="0"/>
        <v>85.5</v>
      </c>
      <c r="I5" s="14"/>
      <c r="J5" s="14"/>
      <c r="K5" s="14">
        <f t="shared" si="1"/>
        <v>0.43846153846153846</v>
      </c>
      <c r="L5" s="14">
        <f t="shared" si="1"/>
        <v>0.58461538461538465</v>
      </c>
      <c r="M5" s="14">
        <f t="shared" si="1"/>
        <v>0.73076923076923073</v>
      </c>
      <c r="N5" s="14">
        <f t="shared" si="1"/>
        <v>0.87692307692307692</v>
      </c>
      <c r="O5" s="14">
        <f t="shared" si="1"/>
        <v>1.023076923076923</v>
      </c>
      <c r="P5" s="14">
        <f t="shared" si="1"/>
        <v>1.1692307692307693</v>
      </c>
      <c r="Q5" s="14">
        <f t="shared" si="1"/>
        <v>1.3153846153846154</v>
      </c>
      <c r="R5" s="14"/>
    </row>
    <row r="6" spans="1:18" x14ac:dyDescent="0.4">
      <c r="A6" s="3">
        <v>70</v>
      </c>
      <c r="B6" s="19">
        <v>30</v>
      </c>
      <c r="C6" s="19">
        <v>40</v>
      </c>
      <c r="D6" s="19">
        <v>50</v>
      </c>
      <c r="E6" s="19">
        <v>60</v>
      </c>
      <c r="F6" s="20">
        <v>70</v>
      </c>
      <c r="G6" s="19">
        <v>80</v>
      </c>
      <c r="H6" s="19">
        <v>90</v>
      </c>
      <c r="I6" s="14"/>
      <c r="J6" s="14"/>
      <c r="K6" s="14">
        <f t="shared" si="1"/>
        <v>0.42857142857142855</v>
      </c>
      <c r="L6" s="14">
        <f t="shared" si="1"/>
        <v>0.5714285714285714</v>
      </c>
      <c r="M6" s="14">
        <f t="shared" si="1"/>
        <v>0.7142857142857143</v>
      </c>
      <c r="N6" s="14">
        <f t="shared" si="1"/>
        <v>0.8571428571428571</v>
      </c>
      <c r="O6" s="14">
        <f t="shared" si="1"/>
        <v>1</v>
      </c>
      <c r="P6" s="14">
        <f t="shared" si="1"/>
        <v>1.1428571428571428</v>
      </c>
      <c r="Q6" s="14">
        <f t="shared" si="1"/>
        <v>1.2857142857142858</v>
      </c>
      <c r="R6" s="14"/>
    </row>
    <row r="7" spans="1:18" x14ac:dyDescent="0.4">
      <c r="A7" s="3">
        <v>75</v>
      </c>
      <c r="B7" s="18">
        <f>B6*1.05</f>
        <v>31.5</v>
      </c>
      <c r="C7" s="18">
        <f t="shared" ref="C7:H13" si="2">C6*1.05</f>
        <v>42</v>
      </c>
      <c r="D7" s="18">
        <f t="shared" si="2"/>
        <v>52.5</v>
      </c>
      <c r="E7" s="18">
        <f t="shared" si="2"/>
        <v>63</v>
      </c>
      <c r="F7" s="18">
        <f t="shared" si="2"/>
        <v>73.5</v>
      </c>
      <c r="G7" s="18">
        <f t="shared" si="2"/>
        <v>84</v>
      </c>
      <c r="H7" s="18">
        <f t="shared" si="2"/>
        <v>94.5</v>
      </c>
      <c r="I7" s="14"/>
      <c r="J7" s="14"/>
      <c r="K7" s="14">
        <f t="shared" si="1"/>
        <v>0.42</v>
      </c>
      <c r="L7" s="14">
        <f t="shared" si="1"/>
        <v>0.56000000000000005</v>
      </c>
      <c r="M7" s="14">
        <f t="shared" si="1"/>
        <v>0.7</v>
      </c>
      <c r="N7" s="14">
        <f t="shared" si="1"/>
        <v>0.84</v>
      </c>
      <c r="O7" s="14">
        <f t="shared" si="1"/>
        <v>0.98</v>
      </c>
      <c r="P7" s="14">
        <f t="shared" si="1"/>
        <v>1.1200000000000001</v>
      </c>
      <c r="Q7" s="14">
        <f t="shared" si="1"/>
        <v>1.26</v>
      </c>
      <c r="R7" s="14"/>
    </row>
    <row r="8" spans="1:18" x14ac:dyDescent="0.4">
      <c r="A8" s="3">
        <v>82</v>
      </c>
      <c r="B8" s="18">
        <f t="shared" ref="B8:B13" si="3">B7*1.05</f>
        <v>33.075000000000003</v>
      </c>
      <c r="C8" s="18">
        <f t="shared" si="2"/>
        <v>44.1</v>
      </c>
      <c r="D8" s="18">
        <f t="shared" si="2"/>
        <v>55.125</v>
      </c>
      <c r="E8" s="18">
        <f t="shared" si="2"/>
        <v>66.150000000000006</v>
      </c>
      <c r="F8" s="18">
        <f t="shared" si="2"/>
        <v>77.174999999999997</v>
      </c>
      <c r="G8" s="18">
        <f t="shared" si="2"/>
        <v>88.2</v>
      </c>
      <c r="H8" s="18">
        <f t="shared" si="2"/>
        <v>99.225000000000009</v>
      </c>
      <c r="I8" s="14"/>
      <c r="J8" s="14"/>
      <c r="K8" s="14">
        <f t="shared" si="1"/>
        <v>0.40335365853658539</v>
      </c>
      <c r="L8" s="14">
        <f t="shared" si="1"/>
        <v>0.53780487804878052</v>
      </c>
      <c r="M8" s="14">
        <f t="shared" si="1"/>
        <v>0.6722560975609756</v>
      </c>
      <c r="N8" s="14">
        <f t="shared" si="1"/>
        <v>0.80670731707317078</v>
      </c>
      <c r="O8" s="14">
        <f t="shared" si="1"/>
        <v>0.94115853658536586</v>
      </c>
      <c r="P8" s="14">
        <f t="shared" si="1"/>
        <v>1.075609756097561</v>
      </c>
      <c r="Q8" s="14">
        <f t="shared" si="1"/>
        <v>1.2100609756097562</v>
      </c>
      <c r="R8" s="14"/>
    </row>
    <row r="9" spans="1:18" x14ac:dyDescent="0.4">
      <c r="A9" s="3">
        <v>90</v>
      </c>
      <c r="B9" s="18">
        <f t="shared" si="3"/>
        <v>34.728750000000005</v>
      </c>
      <c r="C9" s="18">
        <f t="shared" si="2"/>
        <v>46.305000000000007</v>
      </c>
      <c r="D9" s="18">
        <f t="shared" si="2"/>
        <v>57.881250000000001</v>
      </c>
      <c r="E9" s="18">
        <f t="shared" si="2"/>
        <v>69.45750000000001</v>
      </c>
      <c r="F9" s="18">
        <f t="shared" si="2"/>
        <v>81.033749999999998</v>
      </c>
      <c r="G9" s="18">
        <f t="shared" si="2"/>
        <v>92.610000000000014</v>
      </c>
      <c r="H9" s="18">
        <f t="shared" si="2"/>
        <v>104.18625000000002</v>
      </c>
      <c r="I9" s="14"/>
      <c r="J9" s="14"/>
      <c r="K9" s="14">
        <f t="shared" si="1"/>
        <v>0.38587500000000008</v>
      </c>
      <c r="L9" s="14">
        <f t="shared" si="1"/>
        <v>0.51450000000000007</v>
      </c>
      <c r="M9" s="14">
        <f t="shared" si="1"/>
        <v>0.64312500000000006</v>
      </c>
      <c r="N9" s="14">
        <f t="shared" si="1"/>
        <v>0.77175000000000016</v>
      </c>
      <c r="O9" s="14">
        <f t="shared" si="1"/>
        <v>0.90037499999999993</v>
      </c>
      <c r="P9" s="14">
        <f t="shared" si="1"/>
        <v>1.0290000000000001</v>
      </c>
      <c r="Q9" s="14">
        <f t="shared" si="1"/>
        <v>1.1576250000000001</v>
      </c>
      <c r="R9" s="14"/>
    </row>
    <row r="10" spans="1:18" x14ac:dyDescent="0.4">
      <c r="A10" s="3">
        <v>100</v>
      </c>
      <c r="B10" s="18">
        <f t="shared" si="3"/>
        <v>36.465187500000006</v>
      </c>
      <c r="C10" s="18">
        <f t="shared" si="2"/>
        <v>48.620250000000006</v>
      </c>
      <c r="D10" s="18">
        <f t="shared" si="2"/>
        <v>60.775312500000005</v>
      </c>
      <c r="E10" s="18">
        <f t="shared" si="2"/>
        <v>72.930375000000012</v>
      </c>
      <c r="F10" s="18">
        <f t="shared" si="2"/>
        <v>85.085437499999998</v>
      </c>
      <c r="G10" s="18">
        <f t="shared" si="2"/>
        <v>97.240500000000011</v>
      </c>
      <c r="H10" s="18">
        <f t="shared" si="2"/>
        <v>109.39556250000003</v>
      </c>
      <c r="I10" s="14"/>
      <c r="J10" s="14"/>
      <c r="K10" s="14">
        <f t="shared" si="1"/>
        <v>0.36465187500000007</v>
      </c>
      <c r="L10" s="14">
        <f t="shared" si="1"/>
        <v>0.48620250000000004</v>
      </c>
      <c r="M10" s="14">
        <f t="shared" si="1"/>
        <v>0.60775312500000001</v>
      </c>
      <c r="N10" s="14">
        <f t="shared" si="1"/>
        <v>0.72930375000000014</v>
      </c>
      <c r="O10" s="14">
        <f t="shared" si="1"/>
        <v>0.85085437499999994</v>
      </c>
      <c r="P10" s="14">
        <f t="shared" si="1"/>
        <v>0.97240500000000007</v>
      </c>
      <c r="Q10" s="14">
        <f t="shared" si="1"/>
        <v>1.0939556250000002</v>
      </c>
      <c r="R10" s="14"/>
    </row>
    <row r="11" spans="1:18" x14ac:dyDescent="0.4">
      <c r="A11" s="3">
        <v>110</v>
      </c>
      <c r="B11" s="18">
        <f t="shared" si="3"/>
        <v>38.288446875000005</v>
      </c>
      <c r="C11" s="18">
        <f t="shared" si="2"/>
        <v>51.051262500000007</v>
      </c>
      <c r="D11" s="18">
        <f t="shared" si="2"/>
        <v>63.814078125000009</v>
      </c>
      <c r="E11" s="18">
        <f t="shared" si="2"/>
        <v>76.576893750000011</v>
      </c>
      <c r="F11" s="18">
        <f t="shared" si="2"/>
        <v>89.339709374999998</v>
      </c>
      <c r="G11" s="18">
        <f t="shared" si="2"/>
        <v>102.10252500000001</v>
      </c>
      <c r="H11" s="18">
        <f t="shared" si="2"/>
        <v>114.86534062500003</v>
      </c>
      <c r="I11" s="14"/>
      <c r="J11" s="14"/>
      <c r="K11" s="14">
        <f t="shared" si="1"/>
        <v>0.34807678977272732</v>
      </c>
      <c r="L11" s="14">
        <f t="shared" si="1"/>
        <v>0.46410238636363643</v>
      </c>
      <c r="M11" s="14">
        <f t="shared" si="1"/>
        <v>0.58012798295454548</v>
      </c>
      <c r="N11" s="14">
        <f t="shared" si="1"/>
        <v>0.69615357954545465</v>
      </c>
      <c r="O11" s="14">
        <f t="shared" si="1"/>
        <v>0.81217917613636359</v>
      </c>
      <c r="P11" s="14">
        <f t="shared" si="1"/>
        <v>0.92820477272727286</v>
      </c>
      <c r="Q11" s="14">
        <f t="shared" si="1"/>
        <v>1.044230369318182</v>
      </c>
      <c r="R11" s="14"/>
    </row>
    <row r="12" spans="1:18" x14ac:dyDescent="0.4">
      <c r="A12" s="3">
        <v>120</v>
      </c>
      <c r="B12" s="18">
        <f t="shared" si="3"/>
        <v>40.20286921875001</v>
      </c>
      <c r="C12" s="18">
        <f t="shared" si="2"/>
        <v>53.603825625000013</v>
      </c>
      <c r="D12" s="18">
        <f t="shared" si="2"/>
        <v>67.004782031250016</v>
      </c>
      <c r="E12" s="18">
        <f t="shared" si="2"/>
        <v>80.40573843750002</v>
      </c>
      <c r="F12" s="18">
        <f t="shared" si="2"/>
        <v>93.806694843750009</v>
      </c>
      <c r="G12" s="18">
        <f t="shared" si="2"/>
        <v>107.20765125000003</v>
      </c>
      <c r="H12" s="18">
        <f t="shared" si="2"/>
        <v>120.60860765625004</v>
      </c>
      <c r="I12" s="14"/>
      <c r="J12" s="14"/>
      <c r="K12" s="14">
        <f t="shared" si="1"/>
        <v>0.3350239101562501</v>
      </c>
      <c r="L12" s="14">
        <f t="shared" si="1"/>
        <v>0.4466985468750001</v>
      </c>
      <c r="M12" s="14">
        <f t="shared" si="1"/>
        <v>0.5583731835937501</v>
      </c>
      <c r="N12" s="14">
        <f t="shared" si="1"/>
        <v>0.67004782031250021</v>
      </c>
      <c r="O12" s="14">
        <f t="shared" si="1"/>
        <v>0.7817224570312501</v>
      </c>
      <c r="P12" s="14">
        <f t="shared" si="1"/>
        <v>0.8933970937500002</v>
      </c>
      <c r="Q12" s="14">
        <f t="shared" si="1"/>
        <v>1.0050717304687504</v>
      </c>
      <c r="R12" s="14"/>
    </row>
    <row r="13" spans="1:18" x14ac:dyDescent="0.4">
      <c r="A13" s="3">
        <v>130</v>
      </c>
      <c r="B13" s="18">
        <f t="shared" si="3"/>
        <v>42.213012679687509</v>
      </c>
      <c r="C13" s="18">
        <f t="shared" si="2"/>
        <v>56.284016906250017</v>
      </c>
      <c r="D13" s="18">
        <f t="shared" si="2"/>
        <v>70.355021132812524</v>
      </c>
      <c r="E13" s="18">
        <f t="shared" si="2"/>
        <v>84.426025359375018</v>
      </c>
      <c r="F13" s="18">
        <f t="shared" si="2"/>
        <v>98.497029585937511</v>
      </c>
      <c r="G13" s="18">
        <f t="shared" si="2"/>
        <v>112.56803381250003</v>
      </c>
      <c r="H13" s="18">
        <f t="shared" si="2"/>
        <v>126.63903803906256</v>
      </c>
      <c r="I13" s="14"/>
      <c r="J13" s="14"/>
      <c r="K13" s="14">
        <f t="shared" si="1"/>
        <v>0.32471548215144236</v>
      </c>
      <c r="L13" s="14">
        <f t="shared" si="1"/>
        <v>0.43295397620192322</v>
      </c>
      <c r="M13" s="14">
        <f t="shared" si="1"/>
        <v>0.54119247025240402</v>
      </c>
      <c r="N13" s="14">
        <f t="shared" si="1"/>
        <v>0.64943096430288472</v>
      </c>
      <c r="O13" s="14">
        <f t="shared" si="1"/>
        <v>0.75766945835336552</v>
      </c>
      <c r="P13" s="14">
        <f t="shared" si="1"/>
        <v>0.86590795240384644</v>
      </c>
      <c r="Q13" s="14">
        <f t="shared" si="1"/>
        <v>0.97414644645432735</v>
      </c>
      <c r="R13" s="14"/>
    </row>
    <row r="14" spans="1:18" x14ac:dyDescent="0.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27.6" x14ac:dyDescent="0.4">
      <c r="A15" s="25" t="s">
        <v>95</v>
      </c>
      <c r="B15" s="26"/>
      <c r="C15" s="26"/>
      <c r="D15" s="26"/>
      <c r="E15" s="26"/>
      <c r="F15" s="26"/>
      <c r="G15" s="26"/>
      <c r="H15" s="26"/>
      <c r="I15" s="14"/>
      <c r="J15" s="14"/>
      <c r="K15" s="27" t="s">
        <v>96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I16" s="14"/>
      <c r="J16" s="14"/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  <c r="R16" s="14"/>
    </row>
    <row r="17" spans="1:18" x14ac:dyDescent="0.4">
      <c r="A17" s="2">
        <v>44</v>
      </c>
      <c r="B17" s="16">
        <f>B3/2</f>
        <v>12.860624999999999</v>
      </c>
      <c r="C17" s="16">
        <f>C3/2</f>
        <v>17.147500000000001</v>
      </c>
      <c r="D17" s="16">
        <f>D3/2</f>
        <v>21.434374999999999</v>
      </c>
      <c r="E17" s="16">
        <f>E3/2</f>
        <v>25.721249999999998</v>
      </c>
      <c r="F17" s="16">
        <f>F3/2</f>
        <v>30.008124999999996</v>
      </c>
      <c r="G17" s="16">
        <f>G3/2</f>
        <v>34.295000000000002</v>
      </c>
      <c r="H17" s="16">
        <f>H3/2</f>
        <v>38.581874999999997</v>
      </c>
      <c r="I17" s="14"/>
      <c r="J17" s="14"/>
      <c r="K17" s="14">
        <f>B17/$A17</f>
        <v>0.29228693181818177</v>
      </c>
      <c r="L17" s="14">
        <f>D17/$A17</f>
        <v>0.48714488636363634</v>
      </c>
      <c r="M17" s="14">
        <f>F17/$A17</f>
        <v>0.6820028409090908</v>
      </c>
      <c r="N17" s="14">
        <f>E17/$A17</f>
        <v>0.58457386363636354</v>
      </c>
      <c r="O17" s="14">
        <f>G17/$A17</f>
        <v>0.77943181818181817</v>
      </c>
      <c r="P17" s="14">
        <f>G17/$A17</f>
        <v>0.77943181818181817</v>
      </c>
      <c r="Q17" s="14">
        <f>H17/$A17</f>
        <v>0.87686079545454543</v>
      </c>
      <c r="R17" s="14"/>
    </row>
    <row r="18" spans="1:18" x14ac:dyDescent="0.4">
      <c r="A18" s="2">
        <v>48</v>
      </c>
      <c r="B18" s="16">
        <f>B4/2</f>
        <v>13.5375</v>
      </c>
      <c r="C18" s="16">
        <f>C4/2</f>
        <v>18.05</v>
      </c>
      <c r="D18" s="16">
        <f>D4/2</f>
        <v>22.5625</v>
      </c>
      <c r="E18" s="16">
        <f>E4/2</f>
        <v>27.074999999999999</v>
      </c>
      <c r="F18" s="16">
        <f>F4/2</f>
        <v>31.587499999999999</v>
      </c>
      <c r="G18" s="16">
        <f>G4/2</f>
        <v>36.1</v>
      </c>
      <c r="H18" s="16">
        <f>H4/2</f>
        <v>40.612499999999997</v>
      </c>
      <c r="I18" s="14"/>
      <c r="J18" s="14"/>
      <c r="K18" s="14">
        <f t="shared" ref="K18:K25" si="4">B18/$A18</f>
        <v>0.28203125000000001</v>
      </c>
      <c r="L18" s="14">
        <f t="shared" ref="L18:L25" si="5">D18/$A18</f>
        <v>0.47005208333333331</v>
      </c>
      <c r="M18" s="14">
        <f t="shared" ref="M18:M25" si="6">F18/$A18</f>
        <v>0.65807291666666667</v>
      </c>
      <c r="N18" s="14">
        <f t="shared" ref="N18:N25" si="7">E18/$A18</f>
        <v>0.56406250000000002</v>
      </c>
      <c r="O18" s="14">
        <f t="shared" ref="O18:O25" si="8">G18/$A18</f>
        <v>0.75208333333333333</v>
      </c>
      <c r="P18" s="14">
        <f t="shared" ref="P18:Q25" si="9">G18/$A18</f>
        <v>0.75208333333333333</v>
      </c>
      <c r="Q18" s="14">
        <f t="shared" si="9"/>
        <v>0.84609374999999998</v>
      </c>
      <c r="R18" s="14"/>
    </row>
    <row r="19" spans="1:18" x14ac:dyDescent="0.4">
      <c r="A19" s="2">
        <v>52</v>
      </c>
      <c r="B19" s="16">
        <f>B5/2</f>
        <v>14.25</v>
      </c>
      <c r="C19" s="16">
        <f>C5/2</f>
        <v>19</v>
      </c>
      <c r="D19" s="16">
        <f>D5/2</f>
        <v>23.75</v>
      </c>
      <c r="E19" s="16">
        <f>E5/2</f>
        <v>28.5</v>
      </c>
      <c r="F19" s="16">
        <f>F5/2</f>
        <v>33.25</v>
      </c>
      <c r="G19" s="16">
        <f>G5/2</f>
        <v>38</v>
      </c>
      <c r="H19" s="16">
        <f>H5/2</f>
        <v>42.75</v>
      </c>
      <c r="I19" s="14"/>
      <c r="J19" s="14"/>
      <c r="K19" s="14">
        <f t="shared" si="4"/>
        <v>0.27403846153846156</v>
      </c>
      <c r="L19" s="14">
        <f t="shared" si="5"/>
        <v>0.45673076923076922</v>
      </c>
      <c r="M19" s="14">
        <f t="shared" si="6"/>
        <v>0.63942307692307687</v>
      </c>
      <c r="N19" s="14">
        <f t="shared" si="7"/>
        <v>0.54807692307692313</v>
      </c>
      <c r="O19" s="14">
        <f t="shared" si="8"/>
        <v>0.73076923076923073</v>
      </c>
      <c r="P19" s="14">
        <f t="shared" si="9"/>
        <v>0.73076923076923073</v>
      </c>
      <c r="Q19" s="14">
        <f t="shared" si="9"/>
        <v>0.82211538461538458</v>
      </c>
      <c r="R19" s="14"/>
    </row>
    <row r="20" spans="1:18" x14ac:dyDescent="0.4">
      <c r="A20" s="2">
        <v>56</v>
      </c>
      <c r="B20" s="16">
        <f>B6/2</f>
        <v>15</v>
      </c>
      <c r="C20" s="16">
        <f>C6/2</f>
        <v>20</v>
      </c>
      <c r="D20" s="16">
        <f>D6/2</f>
        <v>25</v>
      </c>
      <c r="E20" s="16">
        <f>E6/2</f>
        <v>30</v>
      </c>
      <c r="F20" s="16">
        <f>F6/2</f>
        <v>35</v>
      </c>
      <c r="G20" s="16">
        <f>G6/2</f>
        <v>40</v>
      </c>
      <c r="H20" s="16">
        <f>H6/2</f>
        <v>45</v>
      </c>
      <c r="I20" s="14"/>
      <c r="J20" s="14"/>
      <c r="K20" s="14">
        <f t="shared" si="4"/>
        <v>0.26785714285714285</v>
      </c>
      <c r="L20" s="14">
        <f t="shared" si="5"/>
        <v>0.44642857142857145</v>
      </c>
      <c r="M20" s="14">
        <f t="shared" si="6"/>
        <v>0.625</v>
      </c>
      <c r="N20" s="14">
        <f t="shared" si="7"/>
        <v>0.5357142857142857</v>
      </c>
      <c r="O20" s="14">
        <f t="shared" si="8"/>
        <v>0.7142857142857143</v>
      </c>
      <c r="P20" s="14">
        <f t="shared" si="9"/>
        <v>0.7142857142857143</v>
      </c>
      <c r="Q20" s="14">
        <f t="shared" si="9"/>
        <v>0.8035714285714286</v>
      </c>
      <c r="R20" s="14"/>
    </row>
    <row r="21" spans="1:18" x14ac:dyDescent="0.4">
      <c r="A21" s="2">
        <v>60</v>
      </c>
      <c r="B21" s="16">
        <f>B7/2</f>
        <v>15.75</v>
      </c>
      <c r="C21" s="16">
        <f>C7/2</f>
        <v>21</v>
      </c>
      <c r="D21" s="16">
        <f>D7/2</f>
        <v>26.25</v>
      </c>
      <c r="E21" s="16">
        <f>E7/2</f>
        <v>31.5</v>
      </c>
      <c r="F21" s="16">
        <f>F7/2</f>
        <v>36.75</v>
      </c>
      <c r="G21" s="16">
        <f>G7/2</f>
        <v>42</v>
      </c>
      <c r="H21" s="16">
        <f>H7/2</f>
        <v>47.25</v>
      </c>
      <c r="I21" s="14"/>
      <c r="J21" s="14"/>
      <c r="K21" s="14">
        <f t="shared" si="4"/>
        <v>0.26250000000000001</v>
      </c>
      <c r="L21" s="14">
        <f t="shared" si="5"/>
        <v>0.4375</v>
      </c>
      <c r="M21" s="14">
        <f t="shared" si="6"/>
        <v>0.61250000000000004</v>
      </c>
      <c r="N21" s="14">
        <f t="shared" si="7"/>
        <v>0.52500000000000002</v>
      </c>
      <c r="O21" s="14">
        <f t="shared" si="8"/>
        <v>0.7</v>
      </c>
      <c r="P21" s="14">
        <f t="shared" si="9"/>
        <v>0.7</v>
      </c>
      <c r="Q21" s="14">
        <f t="shared" si="9"/>
        <v>0.78749999999999998</v>
      </c>
      <c r="R21" s="14"/>
    </row>
    <row r="22" spans="1:18" x14ac:dyDescent="0.4">
      <c r="A22" s="2">
        <v>67</v>
      </c>
      <c r="B22" s="16">
        <f>B8/2</f>
        <v>16.537500000000001</v>
      </c>
      <c r="C22" s="16">
        <f>C8/2</f>
        <v>22.05</v>
      </c>
      <c r="D22" s="16">
        <f>D8/2</f>
        <v>27.5625</v>
      </c>
      <c r="E22" s="16">
        <f>E8/2</f>
        <v>33.075000000000003</v>
      </c>
      <c r="F22" s="16">
        <f>F8/2</f>
        <v>38.587499999999999</v>
      </c>
      <c r="G22" s="16">
        <f>G8/2</f>
        <v>44.1</v>
      </c>
      <c r="H22" s="16">
        <f>H8/2</f>
        <v>49.612500000000004</v>
      </c>
      <c r="I22" s="14"/>
      <c r="J22" s="14"/>
      <c r="K22" s="14">
        <f t="shared" si="4"/>
        <v>0.24682835820895524</v>
      </c>
      <c r="L22" s="14">
        <f t="shared" si="5"/>
        <v>0.41138059701492535</v>
      </c>
      <c r="M22" s="14">
        <f t="shared" si="6"/>
        <v>0.57593283582089549</v>
      </c>
      <c r="N22" s="14">
        <f t="shared" si="7"/>
        <v>0.49365671641791048</v>
      </c>
      <c r="O22" s="14">
        <f t="shared" si="8"/>
        <v>0.65820895522388057</v>
      </c>
      <c r="P22" s="14">
        <f t="shared" si="9"/>
        <v>0.65820895522388057</v>
      </c>
      <c r="Q22" s="14">
        <f t="shared" si="9"/>
        <v>0.74048507462686575</v>
      </c>
      <c r="R22" s="14"/>
    </row>
    <row r="23" spans="1:18" x14ac:dyDescent="0.4">
      <c r="A23" s="2">
        <v>75</v>
      </c>
      <c r="B23" s="16">
        <f>B9/2</f>
        <v>17.364375000000003</v>
      </c>
      <c r="C23" s="16">
        <f>C9/2</f>
        <v>23.152500000000003</v>
      </c>
      <c r="D23" s="16">
        <f>D9/2</f>
        <v>28.940625000000001</v>
      </c>
      <c r="E23" s="16">
        <f>E9/2</f>
        <v>34.728750000000005</v>
      </c>
      <c r="F23" s="16">
        <f>F9/2</f>
        <v>40.516874999999999</v>
      </c>
      <c r="G23" s="16">
        <f>G9/2</f>
        <v>46.305000000000007</v>
      </c>
      <c r="H23" s="16">
        <f>H9/2</f>
        <v>52.093125000000008</v>
      </c>
      <c r="I23" s="14"/>
      <c r="J23" s="14"/>
      <c r="K23" s="14">
        <f t="shared" si="4"/>
        <v>0.23152500000000004</v>
      </c>
      <c r="L23" s="14">
        <f t="shared" si="5"/>
        <v>0.38587500000000002</v>
      </c>
      <c r="M23" s="14">
        <f t="shared" si="6"/>
        <v>0.54022499999999996</v>
      </c>
      <c r="N23" s="14">
        <f t="shared" si="7"/>
        <v>0.46305000000000007</v>
      </c>
      <c r="O23" s="14">
        <f t="shared" si="8"/>
        <v>0.61740000000000006</v>
      </c>
      <c r="P23" s="14">
        <f t="shared" si="9"/>
        <v>0.61740000000000006</v>
      </c>
      <c r="Q23" s="14">
        <f t="shared" si="9"/>
        <v>0.69457500000000005</v>
      </c>
      <c r="R23" s="14"/>
    </row>
    <row r="24" spans="1:18" x14ac:dyDescent="0.4">
      <c r="A24" s="2">
        <v>82</v>
      </c>
      <c r="B24" s="16">
        <f>B10/2</f>
        <v>18.232593750000003</v>
      </c>
      <c r="C24" s="16">
        <f>C10/2</f>
        <v>24.310125000000003</v>
      </c>
      <c r="D24" s="16">
        <f>D10/2</f>
        <v>30.387656250000003</v>
      </c>
      <c r="E24" s="16">
        <f>E10/2</f>
        <v>36.465187500000006</v>
      </c>
      <c r="F24" s="16">
        <f>F10/2</f>
        <v>42.542718749999999</v>
      </c>
      <c r="G24" s="16">
        <f>G10/2</f>
        <v>48.620250000000006</v>
      </c>
      <c r="H24" s="16">
        <f>H10/2</f>
        <v>54.697781250000013</v>
      </c>
      <c r="I24" s="14"/>
      <c r="J24" s="14"/>
      <c r="K24" s="14">
        <f t="shared" si="4"/>
        <v>0.22234870426829273</v>
      </c>
      <c r="L24" s="14">
        <f t="shared" si="5"/>
        <v>0.37058117378048783</v>
      </c>
      <c r="M24" s="14">
        <f t="shared" si="6"/>
        <v>0.51881364329268287</v>
      </c>
      <c r="N24" s="14">
        <f t="shared" si="7"/>
        <v>0.44469740853658546</v>
      </c>
      <c r="O24" s="14">
        <f t="shared" si="8"/>
        <v>0.59292987804878061</v>
      </c>
      <c r="P24" s="14">
        <f t="shared" si="9"/>
        <v>0.59292987804878061</v>
      </c>
      <c r="Q24" s="14">
        <f t="shared" si="9"/>
        <v>0.66704611280487824</v>
      </c>
      <c r="R24" s="14"/>
    </row>
    <row r="25" spans="1:18" x14ac:dyDescent="0.4">
      <c r="A25" s="2">
        <v>90</v>
      </c>
      <c r="B25" s="16">
        <f>B11/2</f>
        <v>19.144223437500003</v>
      </c>
      <c r="C25" s="16">
        <f>C11/2</f>
        <v>25.525631250000004</v>
      </c>
      <c r="D25" s="16">
        <f>D11/2</f>
        <v>31.907039062500004</v>
      </c>
      <c r="E25" s="16">
        <f>E11/2</f>
        <v>38.288446875000005</v>
      </c>
      <c r="F25" s="16">
        <f>F11/2</f>
        <v>44.669854687499999</v>
      </c>
      <c r="G25" s="16">
        <f>G11/2</f>
        <v>51.051262500000007</v>
      </c>
      <c r="H25" s="16">
        <f>H11/2</f>
        <v>57.432670312500015</v>
      </c>
      <c r="I25" s="14"/>
      <c r="J25" s="14"/>
      <c r="K25" s="14">
        <f t="shared" si="4"/>
        <v>0.21271359375000004</v>
      </c>
      <c r="L25" s="14">
        <f t="shared" si="5"/>
        <v>0.35452265625000007</v>
      </c>
      <c r="M25" s="14">
        <f t="shared" si="6"/>
        <v>0.49633171874999998</v>
      </c>
      <c r="N25" s="14">
        <f t="shared" si="7"/>
        <v>0.42542718750000008</v>
      </c>
      <c r="O25" s="14">
        <f t="shared" si="8"/>
        <v>0.56723625000000011</v>
      </c>
      <c r="P25" s="14">
        <f t="shared" si="9"/>
        <v>0.56723625000000011</v>
      </c>
      <c r="Q25" s="14">
        <f t="shared" si="9"/>
        <v>0.63814078125000018</v>
      </c>
      <c r="R25" s="14"/>
    </row>
    <row r="26" spans="1:18" x14ac:dyDescent="0.4">
      <c r="A26" s="4"/>
      <c r="B26" s="16"/>
      <c r="C26" s="16"/>
      <c r="D26" s="16"/>
      <c r="E26" s="16"/>
      <c r="F26" s="16"/>
      <c r="G26" s="16"/>
      <c r="H26" s="16"/>
      <c r="I26" s="5"/>
      <c r="J26" s="14"/>
      <c r="K26" s="14"/>
      <c r="L26" s="14"/>
      <c r="M26" s="14"/>
      <c r="N26" s="14"/>
      <c r="O26" s="14"/>
      <c r="P26" s="14"/>
      <c r="Q26" s="14"/>
      <c r="R26" s="14"/>
    </row>
    <row r="27" spans="1:18" x14ac:dyDescent="0.4">
      <c r="A27" s="4"/>
      <c r="B27" s="16"/>
      <c r="C27" s="16"/>
      <c r="D27" s="16"/>
      <c r="E27" s="16"/>
      <c r="F27" s="16"/>
      <c r="G27" s="16"/>
      <c r="H27" s="16"/>
      <c r="I27" s="5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4" zoomScaleNormal="94" workbookViewId="0">
      <selection activeCell="J21" sqref="J21"/>
    </sheetView>
  </sheetViews>
  <sheetFormatPr defaultRowHeight="17.399999999999999" x14ac:dyDescent="0.4"/>
  <sheetData>
    <row r="1" spans="1:18" ht="25.2" x14ac:dyDescent="0.4">
      <c r="A1" s="25" t="s">
        <v>136</v>
      </c>
      <c r="B1" s="26"/>
      <c r="C1" s="26"/>
      <c r="D1" s="26"/>
      <c r="E1" s="26"/>
      <c r="F1" s="26"/>
      <c r="G1" s="26"/>
      <c r="H1" s="26"/>
      <c r="I1" s="14"/>
      <c r="J1" s="14"/>
      <c r="K1" s="25" t="s">
        <v>137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I2" s="14"/>
      <c r="J2" s="14"/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  <c r="R2" s="14"/>
    </row>
    <row r="3" spans="1:18" x14ac:dyDescent="0.4">
      <c r="A3" s="3">
        <v>55</v>
      </c>
      <c r="B3" s="16">
        <f t="shared" ref="B3:H5" si="0">B4*0.95</f>
        <v>0</v>
      </c>
      <c r="C3" s="16">
        <f t="shared" si="0"/>
        <v>8.5737500000000004</v>
      </c>
      <c r="D3" s="16">
        <f t="shared" si="0"/>
        <v>17.147500000000001</v>
      </c>
      <c r="E3" s="16">
        <f t="shared" si="0"/>
        <v>25.721249999999998</v>
      </c>
      <c r="F3" s="16">
        <f t="shared" si="0"/>
        <v>34.295000000000002</v>
      </c>
      <c r="G3" s="16">
        <f t="shared" si="0"/>
        <v>42.868749999999999</v>
      </c>
      <c r="H3" s="16">
        <f t="shared" si="0"/>
        <v>51.442499999999995</v>
      </c>
      <c r="I3" s="14"/>
      <c r="J3" s="14"/>
      <c r="K3" s="14">
        <f t="shared" ref="K3:Q13" si="1">B3/$A3</f>
        <v>0</v>
      </c>
      <c r="L3" s="14">
        <f t="shared" si="1"/>
        <v>0.15588636363636366</v>
      </c>
      <c r="M3" s="14">
        <f t="shared" si="1"/>
        <v>0.31177272727272731</v>
      </c>
      <c r="N3" s="14">
        <f t="shared" si="1"/>
        <v>0.46765909090909086</v>
      </c>
      <c r="O3" s="14">
        <f t="shared" si="1"/>
        <v>0.62354545454545462</v>
      </c>
      <c r="P3" s="14">
        <f t="shared" si="1"/>
        <v>0.77943181818181817</v>
      </c>
      <c r="Q3" s="14">
        <f t="shared" si="1"/>
        <v>0.93531818181818172</v>
      </c>
      <c r="R3" s="14"/>
    </row>
    <row r="4" spans="1:18" x14ac:dyDescent="0.4">
      <c r="A4" s="3">
        <v>60</v>
      </c>
      <c r="B4" s="16">
        <f t="shared" si="0"/>
        <v>0</v>
      </c>
      <c r="C4" s="16">
        <f t="shared" si="0"/>
        <v>9.0250000000000004</v>
      </c>
      <c r="D4" s="16">
        <f t="shared" si="0"/>
        <v>18.05</v>
      </c>
      <c r="E4" s="16">
        <f t="shared" si="0"/>
        <v>27.074999999999999</v>
      </c>
      <c r="F4" s="16">
        <f t="shared" si="0"/>
        <v>36.1</v>
      </c>
      <c r="G4" s="16">
        <f t="shared" si="0"/>
        <v>45.125</v>
      </c>
      <c r="H4" s="16">
        <f t="shared" si="0"/>
        <v>54.15</v>
      </c>
      <c r="I4" s="14"/>
      <c r="J4" s="14"/>
      <c r="K4" s="14">
        <f t="shared" si="1"/>
        <v>0</v>
      </c>
      <c r="L4" s="14">
        <f t="shared" si="1"/>
        <v>0.15041666666666667</v>
      </c>
      <c r="M4" s="14">
        <f t="shared" si="1"/>
        <v>0.30083333333333334</v>
      </c>
      <c r="N4" s="14">
        <f t="shared" si="1"/>
        <v>0.45124999999999998</v>
      </c>
      <c r="O4" s="14">
        <f t="shared" si="1"/>
        <v>0.60166666666666668</v>
      </c>
      <c r="P4" s="14">
        <f t="shared" si="1"/>
        <v>0.75208333333333333</v>
      </c>
      <c r="Q4" s="14">
        <f t="shared" si="1"/>
        <v>0.90249999999999997</v>
      </c>
      <c r="R4" s="14"/>
    </row>
    <row r="5" spans="1:18" x14ac:dyDescent="0.4">
      <c r="A5" s="3">
        <v>65</v>
      </c>
      <c r="B5" s="16">
        <f>B6*0.95</f>
        <v>0</v>
      </c>
      <c r="C5" s="16">
        <f t="shared" si="0"/>
        <v>9.5</v>
      </c>
      <c r="D5" s="16">
        <f t="shared" si="0"/>
        <v>19</v>
      </c>
      <c r="E5" s="16">
        <f t="shared" si="0"/>
        <v>28.5</v>
      </c>
      <c r="F5" s="16">
        <f t="shared" si="0"/>
        <v>38</v>
      </c>
      <c r="G5" s="16">
        <f t="shared" si="0"/>
        <v>47.5</v>
      </c>
      <c r="H5" s="16">
        <f t="shared" si="0"/>
        <v>57</v>
      </c>
      <c r="I5" s="14"/>
      <c r="J5" s="14"/>
      <c r="K5" s="14">
        <f t="shared" si="1"/>
        <v>0</v>
      </c>
      <c r="L5" s="14">
        <f t="shared" si="1"/>
        <v>0.14615384615384616</v>
      </c>
      <c r="M5" s="14">
        <f t="shared" si="1"/>
        <v>0.29230769230769232</v>
      </c>
      <c r="N5" s="14">
        <f t="shared" si="1"/>
        <v>0.43846153846153846</v>
      </c>
      <c r="O5" s="14">
        <f t="shared" si="1"/>
        <v>0.58461538461538465</v>
      </c>
      <c r="P5" s="14">
        <f t="shared" si="1"/>
        <v>0.73076923076923073</v>
      </c>
      <c r="Q5" s="14">
        <f t="shared" si="1"/>
        <v>0.87692307692307692</v>
      </c>
      <c r="R5" s="14"/>
    </row>
    <row r="6" spans="1:18" x14ac:dyDescent="0.4">
      <c r="A6" s="3">
        <v>70</v>
      </c>
      <c r="B6" s="19">
        <v>0</v>
      </c>
      <c r="C6" s="19">
        <v>10</v>
      </c>
      <c r="D6" s="19">
        <v>20</v>
      </c>
      <c r="E6" s="19">
        <v>30</v>
      </c>
      <c r="F6" s="19">
        <v>40</v>
      </c>
      <c r="G6" s="19">
        <v>50</v>
      </c>
      <c r="H6" s="19">
        <v>60</v>
      </c>
      <c r="I6" s="14"/>
      <c r="J6" s="14"/>
      <c r="K6" s="14">
        <f t="shared" si="1"/>
        <v>0</v>
      </c>
      <c r="L6" s="14">
        <f t="shared" si="1"/>
        <v>0.14285714285714285</v>
      </c>
      <c r="M6" s="14">
        <f t="shared" si="1"/>
        <v>0.2857142857142857</v>
      </c>
      <c r="N6" s="14">
        <f t="shared" si="1"/>
        <v>0.42857142857142855</v>
      </c>
      <c r="O6" s="14">
        <f t="shared" si="1"/>
        <v>0.5714285714285714</v>
      </c>
      <c r="P6" s="14">
        <f t="shared" si="1"/>
        <v>0.7142857142857143</v>
      </c>
      <c r="Q6" s="14">
        <f t="shared" si="1"/>
        <v>0.8571428571428571</v>
      </c>
      <c r="R6" s="14"/>
    </row>
    <row r="7" spans="1:18" x14ac:dyDescent="0.4">
      <c r="A7" s="3">
        <v>75</v>
      </c>
      <c r="B7" s="18">
        <f>B6*1.05</f>
        <v>0</v>
      </c>
      <c r="C7" s="18">
        <f t="shared" ref="C7:H13" si="2">C6*1.05</f>
        <v>10.5</v>
      </c>
      <c r="D7" s="18">
        <f t="shared" si="2"/>
        <v>21</v>
      </c>
      <c r="E7" s="18">
        <f t="shared" si="2"/>
        <v>31.5</v>
      </c>
      <c r="F7" s="18">
        <f t="shared" si="2"/>
        <v>42</v>
      </c>
      <c r="G7" s="18">
        <f t="shared" si="2"/>
        <v>52.5</v>
      </c>
      <c r="H7" s="18">
        <f t="shared" si="2"/>
        <v>63</v>
      </c>
      <c r="I7" s="14"/>
      <c r="J7" s="14"/>
      <c r="K7" s="14">
        <f t="shared" si="1"/>
        <v>0</v>
      </c>
      <c r="L7" s="14">
        <f t="shared" si="1"/>
        <v>0.14000000000000001</v>
      </c>
      <c r="M7" s="14">
        <f t="shared" si="1"/>
        <v>0.28000000000000003</v>
      </c>
      <c r="N7" s="14">
        <f t="shared" si="1"/>
        <v>0.42</v>
      </c>
      <c r="O7" s="14">
        <f t="shared" si="1"/>
        <v>0.56000000000000005</v>
      </c>
      <c r="P7" s="14">
        <f t="shared" si="1"/>
        <v>0.7</v>
      </c>
      <c r="Q7" s="14">
        <f t="shared" si="1"/>
        <v>0.84</v>
      </c>
      <c r="R7" s="14"/>
    </row>
    <row r="8" spans="1:18" x14ac:dyDescent="0.4">
      <c r="A8" s="3">
        <v>82</v>
      </c>
      <c r="B8" s="18">
        <f t="shared" ref="B8:B13" si="3">B7*1.05</f>
        <v>0</v>
      </c>
      <c r="C8" s="18">
        <f t="shared" si="2"/>
        <v>11.025</v>
      </c>
      <c r="D8" s="18">
        <f t="shared" si="2"/>
        <v>22.05</v>
      </c>
      <c r="E8" s="18">
        <f t="shared" si="2"/>
        <v>33.075000000000003</v>
      </c>
      <c r="F8" s="18">
        <f t="shared" si="2"/>
        <v>44.1</v>
      </c>
      <c r="G8" s="18">
        <f t="shared" si="2"/>
        <v>55.125</v>
      </c>
      <c r="H8" s="18">
        <f t="shared" si="2"/>
        <v>66.150000000000006</v>
      </c>
      <c r="I8" s="14"/>
      <c r="J8" s="14"/>
      <c r="K8" s="14">
        <f t="shared" si="1"/>
        <v>0</v>
      </c>
      <c r="L8" s="14">
        <f t="shared" si="1"/>
        <v>0.13445121951219513</v>
      </c>
      <c r="M8" s="14">
        <f t="shared" si="1"/>
        <v>0.26890243902439026</v>
      </c>
      <c r="N8" s="14">
        <f t="shared" si="1"/>
        <v>0.40335365853658539</v>
      </c>
      <c r="O8" s="14">
        <f t="shared" si="1"/>
        <v>0.53780487804878052</v>
      </c>
      <c r="P8" s="14">
        <f t="shared" si="1"/>
        <v>0.6722560975609756</v>
      </c>
      <c r="Q8" s="14">
        <f t="shared" si="1"/>
        <v>0.80670731707317078</v>
      </c>
      <c r="R8" s="14"/>
    </row>
    <row r="9" spans="1:18" x14ac:dyDescent="0.4">
      <c r="A9" s="3">
        <v>90</v>
      </c>
      <c r="B9" s="18">
        <f t="shared" si="3"/>
        <v>0</v>
      </c>
      <c r="C9" s="18">
        <f t="shared" si="2"/>
        <v>11.576250000000002</v>
      </c>
      <c r="D9" s="18">
        <f t="shared" si="2"/>
        <v>23.152500000000003</v>
      </c>
      <c r="E9" s="18">
        <f t="shared" si="2"/>
        <v>34.728750000000005</v>
      </c>
      <c r="F9" s="18">
        <f t="shared" si="2"/>
        <v>46.305000000000007</v>
      </c>
      <c r="G9" s="18">
        <f t="shared" si="2"/>
        <v>57.881250000000001</v>
      </c>
      <c r="H9" s="18">
        <f t="shared" si="2"/>
        <v>69.45750000000001</v>
      </c>
      <c r="I9" s="14"/>
      <c r="J9" s="14"/>
      <c r="K9" s="14">
        <f t="shared" si="1"/>
        <v>0</v>
      </c>
      <c r="L9" s="14">
        <f t="shared" si="1"/>
        <v>0.12862500000000002</v>
      </c>
      <c r="M9" s="14">
        <f t="shared" si="1"/>
        <v>0.25725000000000003</v>
      </c>
      <c r="N9" s="14">
        <f t="shared" si="1"/>
        <v>0.38587500000000008</v>
      </c>
      <c r="O9" s="14">
        <f t="shared" si="1"/>
        <v>0.51450000000000007</v>
      </c>
      <c r="P9" s="14">
        <f t="shared" si="1"/>
        <v>0.64312500000000006</v>
      </c>
      <c r="Q9" s="14">
        <f t="shared" si="1"/>
        <v>0.77175000000000016</v>
      </c>
      <c r="R9" s="14"/>
    </row>
    <row r="10" spans="1:18" x14ac:dyDescent="0.4">
      <c r="A10" s="3">
        <v>100</v>
      </c>
      <c r="B10" s="18">
        <f t="shared" si="3"/>
        <v>0</v>
      </c>
      <c r="C10" s="18">
        <f t="shared" si="2"/>
        <v>12.155062500000001</v>
      </c>
      <c r="D10" s="18">
        <f t="shared" si="2"/>
        <v>24.310125000000003</v>
      </c>
      <c r="E10" s="18">
        <f t="shared" si="2"/>
        <v>36.465187500000006</v>
      </c>
      <c r="F10" s="18">
        <f t="shared" si="2"/>
        <v>48.620250000000006</v>
      </c>
      <c r="G10" s="18">
        <f t="shared" si="2"/>
        <v>60.775312500000005</v>
      </c>
      <c r="H10" s="18">
        <f t="shared" si="2"/>
        <v>72.930375000000012</v>
      </c>
      <c r="I10" s="14"/>
      <c r="J10" s="14"/>
      <c r="K10" s="14">
        <f t="shared" si="1"/>
        <v>0</v>
      </c>
      <c r="L10" s="14">
        <f t="shared" si="1"/>
        <v>0.12155062500000001</v>
      </c>
      <c r="M10" s="14">
        <f t="shared" si="1"/>
        <v>0.24310125000000002</v>
      </c>
      <c r="N10" s="14">
        <f t="shared" si="1"/>
        <v>0.36465187500000007</v>
      </c>
      <c r="O10" s="14">
        <f t="shared" si="1"/>
        <v>0.48620250000000004</v>
      </c>
      <c r="P10" s="14">
        <f t="shared" si="1"/>
        <v>0.60775312500000001</v>
      </c>
      <c r="Q10" s="14">
        <f t="shared" si="1"/>
        <v>0.72930375000000014</v>
      </c>
      <c r="R10" s="14"/>
    </row>
    <row r="11" spans="1:18" x14ac:dyDescent="0.4">
      <c r="A11" s="3">
        <v>110</v>
      </c>
      <c r="B11" s="18">
        <f t="shared" si="3"/>
        <v>0</v>
      </c>
      <c r="C11" s="18">
        <f t="shared" si="2"/>
        <v>12.762815625000002</v>
      </c>
      <c r="D11" s="18">
        <f t="shared" si="2"/>
        <v>25.525631250000004</v>
      </c>
      <c r="E11" s="18">
        <f t="shared" si="2"/>
        <v>38.288446875000005</v>
      </c>
      <c r="F11" s="18">
        <f t="shared" si="2"/>
        <v>51.051262500000007</v>
      </c>
      <c r="G11" s="18">
        <f t="shared" si="2"/>
        <v>63.814078125000009</v>
      </c>
      <c r="H11" s="18">
        <f t="shared" si="2"/>
        <v>76.576893750000011</v>
      </c>
      <c r="I11" s="14"/>
      <c r="J11" s="14"/>
      <c r="K11" s="14">
        <f t="shared" si="1"/>
        <v>0</v>
      </c>
      <c r="L11" s="14">
        <f t="shared" si="1"/>
        <v>0.11602559659090911</v>
      </c>
      <c r="M11" s="14">
        <f t="shared" si="1"/>
        <v>0.23205119318181822</v>
      </c>
      <c r="N11" s="14">
        <f t="shared" si="1"/>
        <v>0.34807678977272732</v>
      </c>
      <c r="O11" s="14">
        <f t="shared" si="1"/>
        <v>0.46410238636363643</v>
      </c>
      <c r="P11" s="14">
        <f t="shared" si="1"/>
        <v>0.58012798295454548</v>
      </c>
      <c r="Q11" s="14">
        <f t="shared" si="1"/>
        <v>0.69615357954545465</v>
      </c>
      <c r="R11" s="14"/>
    </row>
    <row r="12" spans="1:18" x14ac:dyDescent="0.4">
      <c r="A12" s="3">
        <v>120</v>
      </c>
      <c r="B12" s="18">
        <f t="shared" si="3"/>
        <v>0</v>
      </c>
      <c r="C12" s="18">
        <f t="shared" si="2"/>
        <v>13.400956406250003</v>
      </c>
      <c r="D12" s="18">
        <f t="shared" si="2"/>
        <v>26.801912812500007</v>
      </c>
      <c r="E12" s="18">
        <f t="shared" si="2"/>
        <v>40.20286921875001</v>
      </c>
      <c r="F12" s="18">
        <f t="shared" si="2"/>
        <v>53.603825625000013</v>
      </c>
      <c r="G12" s="18">
        <f t="shared" si="2"/>
        <v>67.004782031250016</v>
      </c>
      <c r="H12" s="18">
        <f t="shared" si="2"/>
        <v>80.40573843750002</v>
      </c>
      <c r="I12" s="14"/>
      <c r="J12" s="14"/>
      <c r="K12" s="14">
        <f t="shared" si="1"/>
        <v>0</v>
      </c>
      <c r="L12" s="14">
        <f t="shared" si="1"/>
        <v>0.11167463671875003</v>
      </c>
      <c r="M12" s="14">
        <f t="shared" si="1"/>
        <v>0.22334927343750005</v>
      </c>
      <c r="N12" s="14">
        <f t="shared" si="1"/>
        <v>0.3350239101562501</v>
      </c>
      <c r="O12" s="14">
        <f t="shared" si="1"/>
        <v>0.4466985468750001</v>
      </c>
      <c r="P12" s="14">
        <f t="shared" si="1"/>
        <v>0.5583731835937501</v>
      </c>
      <c r="Q12" s="14">
        <f t="shared" si="1"/>
        <v>0.67004782031250021</v>
      </c>
      <c r="R12" s="14"/>
    </row>
    <row r="13" spans="1:18" x14ac:dyDescent="0.4">
      <c r="A13" s="3">
        <v>130</v>
      </c>
      <c r="B13" s="18">
        <f t="shared" si="3"/>
        <v>0</v>
      </c>
      <c r="C13" s="18">
        <f t="shared" si="2"/>
        <v>14.071004226562504</v>
      </c>
      <c r="D13" s="18">
        <f t="shared" si="2"/>
        <v>28.142008453125008</v>
      </c>
      <c r="E13" s="18">
        <f t="shared" si="2"/>
        <v>42.213012679687509</v>
      </c>
      <c r="F13" s="18">
        <f t="shared" si="2"/>
        <v>56.284016906250017</v>
      </c>
      <c r="G13" s="18">
        <f t="shared" si="2"/>
        <v>70.355021132812524</v>
      </c>
      <c r="H13" s="18">
        <f t="shared" si="2"/>
        <v>84.426025359375018</v>
      </c>
      <c r="I13" s="14"/>
      <c r="J13" s="14"/>
      <c r="K13" s="14">
        <f t="shared" si="1"/>
        <v>0</v>
      </c>
      <c r="L13" s="14">
        <f t="shared" si="1"/>
        <v>0.1082384940504808</v>
      </c>
      <c r="M13" s="14">
        <f t="shared" si="1"/>
        <v>0.21647698810096161</v>
      </c>
      <c r="N13" s="14">
        <f t="shared" si="1"/>
        <v>0.32471548215144236</v>
      </c>
      <c r="O13" s="14">
        <f t="shared" si="1"/>
        <v>0.43295397620192322</v>
      </c>
      <c r="P13" s="14">
        <f t="shared" si="1"/>
        <v>0.54119247025240402</v>
      </c>
      <c r="Q13" s="14">
        <f t="shared" si="1"/>
        <v>0.64943096430288472</v>
      </c>
      <c r="R13" s="14"/>
    </row>
    <row r="14" spans="1:18" x14ac:dyDescent="0.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27.6" x14ac:dyDescent="0.4">
      <c r="A15" s="25" t="s">
        <v>138</v>
      </c>
      <c r="B15" s="26"/>
      <c r="C15" s="26"/>
      <c r="D15" s="26"/>
      <c r="E15" s="26"/>
      <c r="F15" s="26"/>
      <c r="G15" s="26"/>
      <c r="H15" s="26"/>
      <c r="I15" s="14"/>
      <c r="J15" s="14"/>
      <c r="K15" s="27" t="s">
        <v>139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I16" s="14"/>
      <c r="J16" s="14"/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  <c r="R16" s="14"/>
    </row>
    <row r="17" spans="1:18" x14ac:dyDescent="0.4">
      <c r="A17" s="2">
        <v>44</v>
      </c>
      <c r="B17" s="16">
        <f>B3/2</f>
        <v>0</v>
      </c>
      <c r="C17" s="16">
        <f>C3/2</f>
        <v>4.2868750000000002</v>
      </c>
      <c r="D17" s="16">
        <f>D3/2</f>
        <v>8.5737500000000004</v>
      </c>
      <c r="E17" s="16">
        <f>E3/2</f>
        <v>12.860624999999999</v>
      </c>
      <c r="F17" s="16">
        <f>F3/2</f>
        <v>17.147500000000001</v>
      </c>
      <c r="G17" s="16">
        <f>G3/2</f>
        <v>21.434374999999999</v>
      </c>
      <c r="H17" s="16">
        <f>H3/2</f>
        <v>25.721249999999998</v>
      </c>
      <c r="I17" s="14"/>
      <c r="J17" s="14"/>
      <c r="K17" s="14">
        <f>B17/$A17</f>
        <v>0</v>
      </c>
      <c r="L17" s="14">
        <f>D17/$A17</f>
        <v>0.19485795454545454</v>
      </c>
      <c r="M17" s="14">
        <f>F17/$A17</f>
        <v>0.38971590909090909</v>
      </c>
      <c r="N17" s="14">
        <f>E17/$A17</f>
        <v>0.29228693181818177</v>
      </c>
      <c r="O17" s="14">
        <f>G17/$A17</f>
        <v>0.48714488636363634</v>
      </c>
      <c r="P17" s="14">
        <f>G17/$A17</f>
        <v>0.48714488636363634</v>
      </c>
      <c r="Q17" s="14">
        <f>H17/$A17</f>
        <v>0.58457386363636354</v>
      </c>
      <c r="R17" s="14"/>
    </row>
    <row r="18" spans="1:18" x14ac:dyDescent="0.4">
      <c r="A18" s="2">
        <v>48</v>
      </c>
      <c r="B18" s="16">
        <f>B4/2</f>
        <v>0</v>
      </c>
      <c r="C18" s="16">
        <f>C4/2</f>
        <v>4.5125000000000002</v>
      </c>
      <c r="D18" s="16">
        <f>D4/2</f>
        <v>9.0250000000000004</v>
      </c>
      <c r="E18" s="16">
        <f>E4/2</f>
        <v>13.5375</v>
      </c>
      <c r="F18" s="16">
        <f>F4/2</f>
        <v>18.05</v>
      </c>
      <c r="G18" s="16">
        <f>G4/2</f>
        <v>22.5625</v>
      </c>
      <c r="H18" s="16">
        <f>H4/2</f>
        <v>27.074999999999999</v>
      </c>
      <c r="I18" s="14"/>
      <c r="J18" s="14"/>
      <c r="K18" s="14">
        <f t="shared" ref="K18:K25" si="4">B18/$A18</f>
        <v>0</v>
      </c>
      <c r="L18" s="14">
        <f t="shared" ref="L18:L25" si="5">D18/$A18</f>
        <v>0.18802083333333333</v>
      </c>
      <c r="M18" s="14">
        <f t="shared" ref="M18:M25" si="6">F18/$A18</f>
        <v>0.37604166666666666</v>
      </c>
      <c r="N18" s="14">
        <f t="shared" ref="N18:N25" si="7">E18/$A18</f>
        <v>0.28203125000000001</v>
      </c>
      <c r="O18" s="14">
        <f t="shared" ref="O18:O25" si="8">G18/$A18</f>
        <v>0.47005208333333331</v>
      </c>
      <c r="P18" s="14">
        <f t="shared" ref="P18:Q25" si="9">G18/$A18</f>
        <v>0.47005208333333331</v>
      </c>
      <c r="Q18" s="14">
        <f t="shared" si="9"/>
        <v>0.56406250000000002</v>
      </c>
      <c r="R18" s="14"/>
    </row>
    <row r="19" spans="1:18" x14ac:dyDescent="0.4">
      <c r="A19" s="2">
        <v>52</v>
      </c>
      <c r="B19" s="16">
        <f>B5/2</f>
        <v>0</v>
      </c>
      <c r="C19" s="16">
        <f>C5/2</f>
        <v>4.75</v>
      </c>
      <c r="D19" s="16">
        <f>D5/2</f>
        <v>9.5</v>
      </c>
      <c r="E19" s="16">
        <f>E5/2</f>
        <v>14.25</v>
      </c>
      <c r="F19" s="16">
        <f>F5/2</f>
        <v>19</v>
      </c>
      <c r="G19" s="16">
        <f>G5/2</f>
        <v>23.75</v>
      </c>
      <c r="H19" s="16">
        <f>H5/2</f>
        <v>28.5</v>
      </c>
      <c r="I19" s="14"/>
      <c r="J19" s="14"/>
      <c r="K19" s="14">
        <f t="shared" si="4"/>
        <v>0</v>
      </c>
      <c r="L19" s="14">
        <f t="shared" si="5"/>
        <v>0.18269230769230768</v>
      </c>
      <c r="M19" s="14">
        <f t="shared" si="6"/>
        <v>0.36538461538461536</v>
      </c>
      <c r="N19" s="14">
        <f t="shared" si="7"/>
        <v>0.27403846153846156</v>
      </c>
      <c r="O19" s="14">
        <f t="shared" si="8"/>
        <v>0.45673076923076922</v>
      </c>
      <c r="P19" s="14">
        <f t="shared" si="9"/>
        <v>0.45673076923076922</v>
      </c>
      <c r="Q19" s="14">
        <f t="shared" si="9"/>
        <v>0.54807692307692313</v>
      </c>
      <c r="R19" s="14"/>
    </row>
    <row r="20" spans="1:18" x14ac:dyDescent="0.4">
      <c r="A20" s="2">
        <v>56</v>
      </c>
      <c r="B20" s="16">
        <f>B6/2</f>
        <v>0</v>
      </c>
      <c r="C20" s="16">
        <f>C6/2</f>
        <v>5</v>
      </c>
      <c r="D20" s="16">
        <f>D6/2</f>
        <v>10</v>
      </c>
      <c r="E20" s="16">
        <f>E6/2</f>
        <v>15</v>
      </c>
      <c r="F20" s="16">
        <f>F6/2</f>
        <v>20</v>
      </c>
      <c r="G20" s="16">
        <f>G6/2</f>
        <v>25</v>
      </c>
      <c r="H20" s="16">
        <f>H6/2</f>
        <v>30</v>
      </c>
      <c r="I20" s="14"/>
      <c r="J20" s="14"/>
      <c r="K20" s="14">
        <f t="shared" si="4"/>
        <v>0</v>
      </c>
      <c r="L20" s="14">
        <f t="shared" si="5"/>
        <v>0.17857142857142858</v>
      </c>
      <c r="M20" s="14">
        <f t="shared" si="6"/>
        <v>0.35714285714285715</v>
      </c>
      <c r="N20" s="14">
        <f t="shared" si="7"/>
        <v>0.26785714285714285</v>
      </c>
      <c r="O20" s="14">
        <f t="shared" si="8"/>
        <v>0.44642857142857145</v>
      </c>
      <c r="P20" s="14">
        <f t="shared" si="9"/>
        <v>0.44642857142857145</v>
      </c>
      <c r="Q20" s="14">
        <f t="shared" si="9"/>
        <v>0.5357142857142857</v>
      </c>
      <c r="R20" s="14"/>
    </row>
    <row r="21" spans="1:18" x14ac:dyDescent="0.4">
      <c r="A21" s="2">
        <v>60</v>
      </c>
      <c r="B21" s="16">
        <f>B7/2</f>
        <v>0</v>
      </c>
      <c r="C21" s="16">
        <f>C7/2</f>
        <v>5.25</v>
      </c>
      <c r="D21" s="16">
        <f>D7/2</f>
        <v>10.5</v>
      </c>
      <c r="E21" s="16">
        <f>E7/2</f>
        <v>15.75</v>
      </c>
      <c r="F21" s="16">
        <f>F7/2</f>
        <v>21</v>
      </c>
      <c r="G21" s="16">
        <f>G7/2</f>
        <v>26.25</v>
      </c>
      <c r="H21" s="16">
        <f>H7/2</f>
        <v>31.5</v>
      </c>
      <c r="I21" s="14"/>
      <c r="J21" s="14"/>
      <c r="K21" s="14">
        <f t="shared" si="4"/>
        <v>0</v>
      </c>
      <c r="L21" s="14">
        <f t="shared" si="5"/>
        <v>0.17499999999999999</v>
      </c>
      <c r="M21" s="14">
        <f t="shared" si="6"/>
        <v>0.35</v>
      </c>
      <c r="N21" s="14">
        <f t="shared" si="7"/>
        <v>0.26250000000000001</v>
      </c>
      <c r="O21" s="14">
        <f t="shared" si="8"/>
        <v>0.4375</v>
      </c>
      <c r="P21" s="14">
        <f t="shared" si="9"/>
        <v>0.4375</v>
      </c>
      <c r="Q21" s="14">
        <f t="shared" si="9"/>
        <v>0.52500000000000002</v>
      </c>
      <c r="R21" s="14"/>
    </row>
    <row r="22" spans="1:18" x14ac:dyDescent="0.4">
      <c r="A22" s="2">
        <v>67</v>
      </c>
      <c r="B22" s="16">
        <f>B8/2</f>
        <v>0</v>
      </c>
      <c r="C22" s="16">
        <f>C8/2</f>
        <v>5.5125000000000002</v>
      </c>
      <c r="D22" s="16">
        <f>D8/2</f>
        <v>11.025</v>
      </c>
      <c r="E22" s="16">
        <f>E8/2</f>
        <v>16.537500000000001</v>
      </c>
      <c r="F22" s="16">
        <f>F8/2</f>
        <v>22.05</v>
      </c>
      <c r="G22" s="16">
        <f>G8/2</f>
        <v>27.5625</v>
      </c>
      <c r="H22" s="16">
        <f>H8/2</f>
        <v>33.075000000000003</v>
      </c>
      <c r="I22" s="14"/>
      <c r="J22" s="14"/>
      <c r="K22" s="14">
        <f t="shared" si="4"/>
        <v>0</v>
      </c>
      <c r="L22" s="14">
        <f t="shared" si="5"/>
        <v>0.16455223880597014</v>
      </c>
      <c r="M22" s="14">
        <f t="shared" si="6"/>
        <v>0.32910447761194028</v>
      </c>
      <c r="N22" s="14">
        <f t="shared" si="7"/>
        <v>0.24682835820895524</v>
      </c>
      <c r="O22" s="14">
        <f t="shared" si="8"/>
        <v>0.41138059701492535</v>
      </c>
      <c r="P22" s="14">
        <f t="shared" si="9"/>
        <v>0.41138059701492535</v>
      </c>
      <c r="Q22" s="14">
        <f t="shared" si="9"/>
        <v>0.49365671641791048</v>
      </c>
      <c r="R22" s="14"/>
    </row>
    <row r="23" spans="1:18" x14ac:dyDescent="0.4">
      <c r="A23" s="2">
        <v>75</v>
      </c>
      <c r="B23" s="16">
        <f>B9/2</f>
        <v>0</v>
      </c>
      <c r="C23" s="16">
        <f>C9/2</f>
        <v>5.7881250000000009</v>
      </c>
      <c r="D23" s="16">
        <f>D9/2</f>
        <v>11.576250000000002</v>
      </c>
      <c r="E23" s="16">
        <f>E9/2</f>
        <v>17.364375000000003</v>
      </c>
      <c r="F23" s="16">
        <f>F9/2</f>
        <v>23.152500000000003</v>
      </c>
      <c r="G23" s="16">
        <f>G9/2</f>
        <v>28.940625000000001</v>
      </c>
      <c r="H23" s="16">
        <f>H9/2</f>
        <v>34.728750000000005</v>
      </c>
      <c r="I23" s="14"/>
      <c r="J23" s="14"/>
      <c r="K23" s="14">
        <f t="shared" si="4"/>
        <v>0</v>
      </c>
      <c r="L23" s="14">
        <f t="shared" si="5"/>
        <v>0.15435000000000001</v>
      </c>
      <c r="M23" s="14">
        <f t="shared" si="6"/>
        <v>0.30870000000000003</v>
      </c>
      <c r="N23" s="14">
        <f t="shared" si="7"/>
        <v>0.23152500000000004</v>
      </c>
      <c r="O23" s="14">
        <f t="shared" si="8"/>
        <v>0.38587500000000002</v>
      </c>
      <c r="P23" s="14">
        <f t="shared" si="9"/>
        <v>0.38587500000000002</v>
      </c>
      <c r="Q23" s="14">
        <f t="shared" si="9"/>
        <v>0.46305000000000007</v>
      </c>
      <c r="R23" s="14"/>
    </row>
    <row r="24" spans="1:18" x14ac:dyDescent="0.4">
      <c r="A24" s="2">
        <v>82</v>
      </c>
      <c r="B24" s="16">
        <f>B10/2</f>
        <v>0</v>
      </c>
      <c r="C24" s="16">
        <f>C10/2</f>
        <v>6.0775312500000007</v>
      </c>
      <c r="D24" s="16">
        <f>D10/2</f>
        <v>12.155062500000001</v>
      </c>
      <c r="E24" s="16">
        <f>E10/2</f>
        <v>18.232593750000003</v>
      </c>
      <c r="F24" s="16">
        <f>F10/2</f>
        <v>24.310125000000003</v>
      </c>
      <c r="G24" s="16">
        <f>G10/2</f>
        <v>30.387656250000003</v>
      </c>
      <c r="H24" s="16">
        <f>H10/2</f>
        <v>36.465187500000006</v>
      </c>
      <c r="I24" s="14"/>
      <c r="J24" s="14"/>
      <c r="K24" s="14">
        <f t="shared" si="4"/>
        <v>0</v>
      </c>
      <c r="L24" s="14">
        <f t="shared" si="5"/>
        <v>0.14823246951219515</v>
      </c>
      <c r="M24" s="14">
        <f t="shared" si="6"/>
        <v>0.29646493902439031</v>
      </c>
      <c r="N24" s="14">
        <f t="shared" si="7"/>
        <v>0.22234870426829273</v>
      </c>
      <c r="O24" s="14">
        <f t="shared" si="8"/>
        <v>0.37058117378048783</v>
      </c>
      <c r="P24" s="14">
        <f t="shared" si="9"/>
        <v>0.37058117378048783</v>
      </c>
      <c r="Q24" s="14">
        <f t="shared" si="9"/>
        <v>0.44469740853658546</v>
      </c>
      <c r="R24" s="14"/>
    </row>
    <row r="25" spans="1:18" x14ac:dyDescent="0.4">
      <c r="A25" s="2">
        <v>90</v>
      </c>
      <c r="B25" s="16">
        <f>B11/2</f>
        <v>0</v>
      </c>
      <c r="C25" s="16">
        <f>C11/2</f>
        <v>6.3814078125000009</v>
      </c>
      <c r="D25" s="16">
        <f>D11/2</f>
        <v>12.762815625000002</v>
      </c>
      <c r="E25" s="16">
        <f>E11/2</f>
        <v>19.144223437500003</v>
      </c>
      <c r="F25" s="16">
        <f>F11/2</f>
        <v>25.525631250000004</v>
      </c>
      <c r="G25" s="16">
        <f>G11/2</f>
        <v>31.907039062500004</v>
      </c>
      <c r="H25" s="16">
        <f>H11/2</f>
        <v>38.288446875000005</v>
      </c>
      <c r="I25" s="14"/>
      <c r="J25" s="14"/>
      <c r="K25" s="14">
        <f t="shared" si="4"/>
        <v>0</v>
      </c>
      <c r="L25" s="14">
        <f t="shared" si="5"/>
        <v>0.14180906250000003</v>
      </c>
      <c r="M25" s="14">
        <f t="shared" si="6"/>
        <v>0.28361812500000005</v>
      </c>
      <c r="N25" s="14">
        <f t="shared" si="7"/>
        <v>0.21271359375000004</v>
      </c>
      <c r="O25" s="14">
        <f t="shared" si="8"/>
        <v>0.35452265625000007</v>
      </c>
      <c r="P25" s="14">
        <f t="shared" si="9"/>
        <v>0.35452265625000007</v>
      </c>
      <c r="Q25" s="14">
        <f t="shared" si="9"/>
        <v>0.42542718750000008</v>
      </c>
      <c r="R25" s="14"/>
    </row>
    <row r="26" spans="1:18" x14ac:dyDescent="0.4">
      <c r="A26" s="4"/>
      <c r="B26" s="16"/>
      <c r="C26" s="16"/>
      <c r="D26" s="16"/>
      <c r="E26" s="16"/>
      <c r="F26" s="16"/>
      <c r="G26" s="16"/>
      <c r="H26" s="16"/>
      <c r="I26" s="5"/>
      <c r="J26" s="14"/>
      <c r="K26" s="14"/>
      <c r="L26" s="14"/>
      <c r="M26" s="14"/>
      <c r="N26" s="14"/>
      <c r="O26" s="14"/>
      <c r="P26" s="14"/>
      <c r="Q26" s="14"/>
      <c r="R26" s="14"/>
    </row>
    <row r="27" spans="1:18" x14ac:dyDescent="0.4">
      <c r="A27" s="4"/>
      <c r="B27" s="16"/>
      <c r="C27" s="16"/>
      <c r="D27" s="16"/>
      <c r="E27" s="16"/>
      <c r="F27" s="16"/>
      <c r="G27" s="16"/>
      <c r="H27" s="16"/>
      <c r="I27" s="5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4" zoomScaleNormal="94" workbookViewId="0">
      <selection activeCell="I18" sqref="I18"/>
    </sheetView>
  </sheetViews>
  <sheetFormatPr defaultRowHeight="17.399999999999999" x14ac:dyDescent="0.4"/>
  <sheetData>
    <row r="1" spans="1:18" ht="25.2" x14ac:dyDescent="0.4">
      <c r="A1" s="25" t="s">
        <v>97</v>
      </c>
      <c r="B1" s="26"/>
      <c r="C1" s="26"/>
      <c r="D1" s="26"/>
      <c r="E1" s="26"/>
      <c r="F1" s="26"/>
      <c r="G1" s="26"/>
      <c r="H1" s="26"/>
      <c r="I1" s="14"/>
      <c r="J1" s="14"/>
      <c r="K1" s="25" t="s">
        <v>98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I2" s="14"/>
      <c r="J2" s="14"/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  <c r="R2" s="14"/>
    </row>
    <row r="3" spans="1:18" x14ac:dyDescent="0.4">
      <c r="A3" s="3">
        <v>55</v>
      </c>
      <c r="B3" s="16">
        <f t="shared" ref="B3:H5" si="0">B4*0.95</f>
        <v>60.016249999999992</v>
      </c>
      <c r="C3" s="16">
        <f t="shared" si="0"/>
        <v>90.024374999999992</v>
      </c>
      <c r="D3" s="16">
        <f t="shared" si="0"/>
        <v>120.03249999999998</v>
      </c>
      <c r="E3" s="16">
        <f t="shared" si="0"/>
        <v>150.04062500000001</v>
      </c>
      <c r="F3" s="16">
        <f t="shared" si="0"/>
        <v>180.04874999999998</v>
      </c>
      <c r="G3" s="16">
        <f t="shared" si="0"/>
        <v>214.34375</v>
      </c>
      <c r="H3" s="16">
        <f t="shared" si="0"/>
        <v>257.21249999999998</v>
      </c>
      <c r="I3" s="14"/>
      <c r="J3" s="14"/>
      <c r="K3" s="14">
        <f t="shared" ref="K3:Q13" si="1">B3/$A3</f>
        <v>1.0912045454545454</v>
      </c>
      <c r="L3" s="14">
        <f t="shared" si="1"/>
        <v>1.6368068181818181</v>
      </c>
      <c r="M3" s="14">
        <f t="shared" si="1"/>
        <v>2.1824090909090907</v>
      </c>
      <c r="N3" s="14">
        <f t="shared" si="1"/>
        <v>2.7280113636363637</v>
      </c>
      <c r="O3" s="14">
        <f t="shared" si="1"/>
        <v>3.2736136363636361</v>
      </c>
      <c r="P3" s="14">
        <f t="shared" si="1"/>
        <v>3.8971590909090907</v>
      </c>
      <c r="Q3" s="14">
        <f t="shared" si="1"/>
        <v>4.6765909090909084</v>
      </c>
      <c r="R3" s="14"/>
    </row>
    <row r="4" spans="1:18" x14ac:dyDescent="0.4">
      <c r="A4" s="3">
        <v>60</v>
      </c>
      <c r="B4" s="16">
        <f t="shared" si="0"/>
        <v>63.174999999999997</v>
      </c>
      <c r="C4" s="16">
        <f t="shared" si="0"/>
        <v>94.762499999999989</v>
      </c>
      <c r="D4" s="16">
        <f t="shared" si="0"/>
        <v>126.35</v>
      </c>
      <c r="E4" s="16">
        <f t="shared" si="0"/>
        <v>157.9375</v>
      </c>
      <c r="F4" s="16">
        <f t="shared" si="0"/>
        <v>189.52499999999998</v>
      </c>
      <c r="G4" s="16">
        <f t="shared" si="0"/>
        <v>225.625</v>
      </c>
      <c r="H4" s="16">
        <f t="shared" si="0"/>
        <v>270.75</v>
      </c>
      <c r="I4" s="14"/>
      <c r="J4" s="14"/>
      <c r="K4" s="14">
        <f t="shared" si="1"/>
        <v>1.0529166666666667</v>
      </c>
      <c r="L4" s="14">
        <f t="shared" si="1"/>
        <v>1.5793749999999998</v>
      </c>
      <c r="M4" s="14">
        <f t="shared" si="1"/>
        <v>2.1058333333333334</v>
      </c>
      <c r="N4" s="14">
        <f t="shared" si="1"/>
        <v>2.6322916666666667</v>
      </c>
      <c r="O4" s="14">
        <f t="shared" si="1"/>
        <v>3.1587499999999995</v>
      </c>
      <c r="P4" s="14">
        <f t="shared" si="1"/>
        <v>3.7604166666666665</v>
      </c>
      <c r="Q4" s="14">
        <f t="shared" si="1"/>
        <v>4.5125000000000002</v>
      </c>
      <c r="R4" s="14"/>
    </row>
    <row r="5" spans="1:18" x14ac:dyDescent="0.4">
      <c r="A5" s="3">
        <v>65</v>
      </c>
      <c r="B5" s="16">
        <f>B6*0.95</f>
        <v>66.5</v>
      </c>
      <c r="C5" s="16">
        <f t="shared" si="0"/>
        <v>99.75</v>
      </c>
      <c r="D5" s="16">
        <f t="shared" si="0"/>
        <v>133</v>
      </c>
      <c r="E5" s="16">
        <f t="shared" si="0"/>
        <v>166.25</v>
      </c>
      <c r="F5" s="16">
        <f t="shared" si="0"/>
        <v>199.5</v>
      </c>
      <c r="G5" s="16">
        <f t="shared" si="0"/>
        <v>237.5</v>
      </c>
      <c r="H5" s="16">
        <f t="shared" si="0"/>
        <v>285</v>
      </c>
      <c r="I5" s="14"/>
      <c r="J5" s="14"/>
      <c r="K5" s="14">
        <f t="shared" si="1"/>
        <v>1.023076923076923</v>
      </c>
      <c r="L5" s="14">
        <f t="shared" si="1"/>
        <v>1.5346153846153847</v>
      </c>
      <c r="M5" s="14">
        <f t="shared" si="1"/>
        <v>2.046153846153846</v>
      </c>
      <c r="N5" s="14">
        <f t="shared" si="1"/>
        <v>2.5576923076923075</v>
      </c>
      <c r="O5" s="14">
        <f t="shared" si="1"/>
        <v>3.0692307692307694</v>
      </c>
      <c r="P5" s="14">
        <f t="shared" si="1"/>
        <v>3.6538461538461537</v>
      </c>
      <c r="Q5" s="14">
        <f t="shared" si="1"/>
        <v>4.384615384615385</v>
      </c>
      <c r="R5" s="14"/>
    </row>
    <row r="6" spans="1:18" x14ac:dyDescent="0.4">
      <c r="A6" s="3">
        <v>70</v>
      </c>
      <c r="B6" s="19">
        <v>70</v>
      </c>
      <c r="C6" s="19">
        <v>105</v>
      </c>
      <c r="D6" s="19">
        <v>140</v>
      </c>
      <c r="E6" s="19">
        <v>175</v>
      </c>
      <c r="F6" s="20">
        <v>210</v>
      </c>
      <c r="G6" s="19">
        <v>250</v>
      </c>
      <c r="H6" s="19">
        <v>300</v>
      </c>
      <c r="I6" s="14"/>
      <c r="J6" s="14"/>
      <c r="K6" s="14">
        <f t="shared" si="1"/>
        <v>1</v>
      </c>
      <c r="L6" s="14">
        <f t="shared" si="1"/>
        <v>1.5</v>
      </c>
      <c r="M6" s="14">
        <f t="shared" si="1"/>
        <v>2</v>
      </c>
      <c r="N6" s="14">
        <f t="shared" si="1"/>
        <v>2.5</v>
      </c>
      <c r="O6" s="14">
        <f t="shared" si="1"/>
        <v>3</v>
      </c>
      <c r="P6" s="14">
        <f t="shared" si="1"/>
        <v>3.5714285714285716</v>
      </c>
      <c r="Q6" s="14">
        <f t="shared" si="1"/>
        <v>4.2857142857142856</v>
      </c>
      <c r="R6" s="14"/>
    </row>
    <row r="7" spans="1:18" x14ac:dyDescent="0.4">
      <c r="A7" s="3">
        <v>75</v>
      </c>
      <c r="B7" s="18">
        <f>B6*1.05</f>
        <v>73.5</v>
      </c>
      <c r="C7" s="18">
        <f t="shared" ref="C7:H13" si="2">C6*1.05</f>
        <v>110.25</v>
      </c>
      <c r="D7" s="18">
        <f t="shared" si="2"/>
        <v>147</v>
      </c>
      <c r="E7" s="18">
        <f t="shared" si="2"/>
        <v>183.75</v>
      </c>
      <c r="F7" s="18">
        <f t="shared" si="2"/>
        <v>220.5</v>
      </c>
      <c r="G7" s="18">
        <f t="shared" si="2"/>
        <v>262.5</v>
      </c>
      <c r="H7" s="18">
        <f t="shared" si="2"/>
        <v>315</v>
      </c>
      <c r="I7" s="14"/>
      <c r="J7" s="14"/>
      <c r="K7" s="14">
        <f t="shared" si="1"/>
        <v>0.98</v>
      </c>
      <c r="L7" s="14">
        <f t="shared" si="1"/>
        <v>1.47</v>
      </c>
      <c r="M7" s="14">
        <f t="shared" si="1"/>
        <v>1.96</v>
      </c>
      <c r="N7" s="14">
        <f t="shared" si="1"/>
        <v>2.4500000000000002</v>
      </c>
      <c r="O7" s="14">
        <f t="shared" si="1"/>
        <v>2.94</v>
      </c>
      <c r="P7" s="14">
        <f t="shared" si="1"/>
        <v>3.5</v>
      </c>
      <c r="Q7" s="14">
        <f t="shared" si="1"/>
        <v>4.2</v>
      </c>
      <c r="R7" s="14"/>
    </row>
    <row r="8" spans="1:18" x14ac:dyDescent="0.4">
      <c r="A8" s="3">
        <v>82</v>
      </c>
      <c r="B8" s="18">
        <f t="shared" ref="B8:B13" si="3">B7*1.05</f>
        <v>77.174999999999997</v>
      </c>
      <c r="C8" s="18">
        <f t="shared" si="2"/>
        <v>115.7625</v>
      </c>
      <c r="D8" s="18">
        <f t="shared" si="2"/>
        <v>154.35</v>
      </c>
      <c r="E8" s="18">
        <f t="shared" si="2"/>
        <v>192.9375</v>
      </c>
      <c r="F8" s="18">
        <f t="shared" si="2"/>
        <v>231.52500000000001</v>
      </c>
      <c r="G8" s="18">
        <f t="shared" si="2"/>
        <v>275.625</v>
      </c>
      <c r="H8" s="18">
        <f t="shared" si="2"/>
        <v>330.75</v>
      </c>
      <c r="I8" s="14"/>
      <c r="J8" s="14"/>
      <c r="K8" s="14">
        <f t="shared" si="1"/>
        <v>0.94115853658536586</v>
      </c>
      <c r="L8" s="14">
        <f t="shared" si="1"/>
        <v>1.4117378048780489</v>
      </c>
      <c r="M8" s="14">
        <f t="shared" si="1"/>
        <v>1.8823170731707317</v>
      </c>
      <c r="N8" s="14">
        <f t="shared" si="1"/>
        <v>2.3528963414634148</v>
      </c>
      <c r="O8" s="14">
        <f t="shared" si="1"/>
        <v>2.8234756097560978</v>
      </c>
      <c r="P8" s="14">
        <f t="shared" si="1"/>
        <v>3.3612804878048781</v>
      </c>
      <c r="Q8" s="14">
        <f t="shared" si="1"/>
        <v>4.0335365853658534</v>
      </c>
      <c r="R8" s="14"/>
    </row>
    <row r="9" spans="1:18" x14ac:dyDescent="0.4">
      <c r="A9" s="3">
        <v>90</v>
      </c>
      <c r="B9" s="18">
        <f t="shared" si="3"/>
        <v>81.033749999999998</v>
      </c>
      <c r="C9" s="18">
        <f t="shared" si="2"/>
        <v>121.55062500000001</v>
      </c>
      <c r="D9" s="18">
        <f t="shared" si="2"/>
        <v>162.0675</v>
      </c>
      <c r="E9" s="18">
        <f t="shared" si="2"/>
        <v>202.58437500000002</v>
      </c>
      <c r="F9" s="18">
        <f t="shared" si="2"/>
        <v>243.10125000000002</v>
      </c>
      <c r="G9" s="18">
        <f t="shared" si="2"/>
        <v>289.40625</v>
      </c>
      <c r="H9" s="18">
        <f t="shared" si="2"/>
        <v>347.28750000000002</v>
      </c>
      <c r="I9" s="14"/>
      <c r="J9" s="14"/>
      <c r="K9" s="14">
        <f t="shared" si="1"/>
        <v>0.90037499999999993</v>
      </c>
      <c r="L9" s="14">
        <f t="shared" si="1"/>
        <v>1.3505625000000001</v>
      </c>
      <c r="M9" s="14">
        <f t="shared" si="1"/>
        <v>1.8007499999999999</v>
      </c>
      <c r="N9" s="14">
        <f t="shared" si="1"/>
        <v>2.2509375</v>
      </c>
      <c r="O9" s="14">
        <f t="shared" si="1"/>
        <v>2.7011250000000002</v>
      </c>
      <c r="P9" s="14">
        <f t="shared" si="1"/>
        <v>3.2156250000000002</v>
      </c>
      <c r="Q9" s="14">
        <f t="shared" si="1"/>
        <v>3.8587500000000001</v>
      </c>
      <c r="R9" s="14"/>
    </row>
    <row r="10" spans="1:18" x14ac:dyDescent="0.4">
      <c r="A10" s="3">
        <v>100</v>
      </c>
      <c r="B10" s="18">
        <f t="shared" si="3"/>
        <v>85.085437499999998</v>
      </c>
      <c r="C10" s="18">
        <f t="shared" si="2"/>
        <v>127.62815625000002</v>
      </c>
      <c r="D10" s="18">
        <f t="shared" si="2"/>
        <v>170.170875</v>
      </c>
      <c r="E10" s="18">
        <f t="shared" si="2"/>
        <v>212.71359375000003</v>
      </c>
      <c r="F10" s="18">
        <f t="shared" si="2"/>
        <v>255.25631250000004</v>
      </c>
      <c r="G10" s="18">
        <f t="shared" si="2"/>
        <v>303.87656250000003</v>
      </c>
      <c r="H10" s="18">
        <f t="shared" si="2"/>
        <v>364.65187500000002</v>
      </c>
      <c r="I10" s="14"/>
      <c r="J10" s="14"/>
      <c r="K10" s="14">
        <f t="shared" si="1"/>
        <v>0.85085437499999994</v>
      </c>
      <c r="L10" s="14">
        <f t="shared" si="1"/>
        <v>1.2762815625000001</v>
      </c>
      <c r="M10" s="14">
        <f t="shared" si="1"/>
        <v>1.7017087499999999</v>
      </c>
      <c r="N10" s="14">
        <f t="shared" si="1"/>
        <v>2.1271359375000003</v>
      </c>
      <c r="O10" s="14">
        <f t="shared" si="1"/>
        <v>2.5525631250000003</v>
      </c>
      <c r="P10" s="14">
        <f t="shared" si="1"/>
        <v>3.0387656250000004</v>
      </c>
      <c r="Q10" s="14">
        <f t="shared" si="1"/>
        <v>3.6465187500000003</v>
      </c>
      <c r="R10" s="14"/>
    </row>
    <row r="11" spans="1:18" x14ac:dyDescent="0.4">
      <c r="A11" s="3">
        <v>110</v>
      </c>
      <c r="B11" s="18">
        <f t="shared" si="3"/>
        <v>89.339709374999998</v>
      </c>
      <c r="C11" s="18">
        <f t="shared" si="2"/>
        <v>134.00956406250003</v>
      </c>
      <c r="D11" s="18">
        <f t="shared" si="2"/>
        <v>178.67941875</v>
      </c>
      <c r="E11" s="18">
        <f t="shared" si="2"/>
        <v>223.34927343750005</v>
      </c>
      <c r="F11" s="18">
        <f t="shared" si="2"/>
        <v>268.01912812500007</v>
      </c>
      <c r="G11" s="18">
        <f t="shared" si="2"/>
        <v>319.07039062500007</v>
      </c>
      <c r="H11" s="18">
        <f t="shared" si="2"/>
        <v>382.88446875000005</v>
      </c>
      <c r="I11" s="14"/>
      <c r="J11" s="14"/>
      <c r="K11" s="14">
        <f t="shared" si="1"/>
        <v>0.81217917613636359</v>
      </c>
      <c r="L11" s="14">
        <f t="shared" si="1"/>
        <v>1.2182687642045458</v>
      </c>
      <c r="M11" s="14">
        <f t="shared" si="1"/>
        <v>1.6243583522727272</v>
      </c>
      <c r="N11" s="14">
        <f t="shared" si="1"/>
        <v>2.0304479403409097</v>
      </c>
      <c r="O11" s="14">
        <f t="shared" si="1"/>
        <v>2.4365375284090915</v>
      </c>
      <c r="P11" s="14">
        <f t="shared" si="1"/>
        <v>2.9006399147727278</v>
      </c>
      <c r="Q11" s="14">
        <f t="shared" si="1"/>
        <v>3.4807678977272731</v>
      </c>
      <c r="R11" s="14"/>
    </row>
    <row r="12" spans="1:18" x14ac:dyDescent="0.4">
      <c r="A12" s="3">
        <v>120</v>
      </c>
      <c r="B12" s="18">
        <f t="shared" si="3"/>
        <v>93.806694843750009</v>
      </c>
      <c r="C12" s="18">
        <f t="shared" si="2"/>
        <v>140.71004226562505</v>
      </c>
      <c r="D12" s="18">
        <f t="shared" si="2"/>
        <v>187.61338968750002</v>
      </c>
      <c r="E12" s="18">
        <f t="shared" si="2"/>
        <v>234.51673710937504</v>
      </c>
      <c r="F12" s="18">
        <f t="shared" si="2"/>
        <v>281.4200845312501</v>
      </c>
      <c r="G12" s="18">
        <f t="shared" si="2"/>
        <v>335.02391015625011</v>
      </c>
      <c r="H12" s="18">
        <f t="shared" si="2"/>
        <v>402.0286921875001</v>
      </c>
      <c r="I12" s="14"/>
      <c r="J12" s="14"/>
      <c r="K12" s="14">
        <f t="shared" si="1"/>
        <v>0.7817224570312501</v>
      </c>
      <c r="L12" s="14">
        <f t="shared" si="1"/>
        <v>1.1725836855468754</v>
      </c>
      <c r="M12" s="14">
        <f t="shared" si="1"/>
        <v>1.5634449140625002</v>
      </c>
      <c r="N12" s="14">
        <f t="shared" si="1"/>
        <v>1.9543061425781254</v>
      </c>
      <c r="O12" s="14">
        <f t="shared" si="1"/>
        <v>2.3451673710937508</v>
      </c>
      <c r="P12" s="14">
        <f t="shared" si="1"/>
        <v>2.7918659179687508</v>
      </c>
      <c r="Q12" s="14">
        <f t="shared" si="1"/>
        <v>3.3502391015625008</v>
      </c>
      <c r="R12" s="14"/>
    </row>
    <row r="13" spans="1:18" x14ac:dyDescent="0.4">
      <c r="A13" s="3">
        <v>130</v>
      </c>
      <c r="B13" s="18">
        <f t="shared" si="3"/>
        <v>98.497029585937511</v>
      </c>
      <c r="C13" s="18">
        <f t="shared" si="2"/>
        <v>147.74554437890632</v>
      </c>
      <c r="D13" s="18">
        <f t="shared" si="2"/>
        <v>196.99405917187502</v>
      </c>
      <c r="E13" s="18">
        <f t="shared" si="2"/>
        <v>246.24257396484381</v>
      </c>
      <c r="F13" s="18">
        <f t="shared" si="2"/>
        <v>295.49108875781263</v>
      </c>
      <c r="G13" s="18">
        <f t="shared" si="2"/>
        <v>351.77510566406261</v>
      </c>
      <c r="H13" s="18">
        <f t="shared" si="2"/>
        <v>422.13012679687512</v>
      </c>
      <c r="I13" s="14"/>
      <c r="J13" s="14"/>
      <c r="K13" s="14">
        <f t="shared" si="1"/>
        <v>0.75766945835336552</v>
      </c>
      <c r="L13" s="14">
        <f t="shared" si="1"/>
        <v>1.1365041875300486</v>
      </c>
      <c r="M13" s="14">
        <f t="shared" si="1"/>
        <v>1.515338916706731</v>
      </c>
      <c r="N13" s="14">
        <f t="shared" si="1"/>
        <v>1.894173645883414</v>
      </c>
      <c r="O13" s="14">
        <f t="shared" si="1"/>
        <v>2.2730083750600971</v>
      </c>
      <c r="P13" s="14">
        <f t="shared" si="1"/>
        <v>2.7059623512620199</v>
      </c>
      <c r="Q13" s="14">
        <f t="shared" si="1"/>
        <v>3.2471548215144241</v>
      </c>
      <c r="R13" s="14"/>
    </row>
    <row r="14" spans="1:18" x14ac:dyDescent="0.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27.6" x14ac:dyDescent="0.4">
      <c r="A15" s="25" t="s">
        <v>99</v>
      </c>
      <c r="B15" s="26"/>
      <c r="C15" s="26"/>
      <c r="D15" s="26"/>
      <c r="E15" s="26"/>
      <c r="F15" s="26"/>
      <c r="G15" s="26"/>
      <c r="H15" s="26"/>
      <c r="I15" s="14"/>
      <c r="J15" s="14"/>
      <c r="K15" s="27" t="s">
        <v>100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I16" s="14"/>
      <c r="J16" s="14"/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  <c r="R16" s="14"/>
    </row>
    <row r="17" spans="1:18" x14ac:dyDescent="0.4">
      <c r="A17" s="2">
        <v>44</v>
      </c>
      <c r="B17" s="16">
        <f>B3/2</f>
        <v>30.008124999999996</v>
      </c>
      <c r="C17" s="16">
        <f>C3/2</f>
        <v>45.012187499999996</v>
      </c>
      <c r="D17" s="16">
        <f>D3/2</f>
        <v>60.016249999999992</v>
      </c>
      <c r="E17" s="16">
        <f>E3/2</f>
        <v>75.020312500000003</v>
      </c>
      <c r="F17" s="16">
        <f>F3/2</f>
        <v>90.024374999999992</v>
      </c>
      <c r="G17" s="16">
        <f>G3/2</f>
        <v>107.171875</v>
      </c>
      <c r="H17" s="16">
        <f>H3/2</f>
        <v>128.60624999999999</v>
      </c>
      <c r="I17" s="14"/>
      <c r="J17" s="14"/>
      <c r="K17" s="14">
        <f>B17/$A17</f>
        <v>0.6820028409090908</v>
      </c>
      <c r="L17" s="14">
        <f>D17/$A17</f>
        <v>1.3640056818181816</v>
      </c>
      <c r="M17" s="14">
        <f>F17/$A17</f>
        <v>2.0460085227272726</v>
      </c>
      <c r="N17" s="14">
        <f>E17/$A17</f>
        <v>1.7050071022727273</v>
      </c>
      <c r="O17" s="14">
        <f>G17/$A17</f>
        <v>2.4357244318181817</v>
      </c>
      <c r="P17" s="14">
        <f>G17/$A17</f>
        <v>2.4357244318181817</v>
      </c>
      <c r="Q17" s="14">
        <f>H17/$A17</f>
        <v>2.9228693181818177</v>
      </c>
      <c r="R17" s="14"/>
    </row>
    <row r="18" spans="1:18" x14ac:dyDescent="0.4">
      <c r="A18" s="2">
        <v>48</v>
      </c>
      <c r="B18" s="16">
        <f>B4/2</f>
        <v>31.587499999999999</v>
      </c>
      <c r="C18" s="16">
        <f>C4/2</f>
        <v>47.381249999999994</v>
      </c>
      <c r="D18" s="16">
        <f>D4/2</f>
        <v>63.174999999999997</v>
      </c>
      <c r="E18" s="16">
        <f>E4/2</f>
        <v>78.96875</v>
      </c>
      <c r="F18" s="16">
        <f>F4/2</f>
        <v>94.762499999999989</v>
      </c>
      <c r="G18" s="16">
        <f>G4/2</f>
        <v>112.8125</v>
      </c>
      <c r="H18" s="16">
        <f>H4/2</f>
        <v>135.375</v>
      </c>
      <c r="I18" s="14"/>
      <c r="J18" s="14"/>
      <c r="K18" s="14">
        <f t="shared" ref="K18:K25" si="4">B18/$A18</f>
        <v>0.65807291666666667</v>
      </c>
      <c r="L18" s="14">
        <f t="shared" ref="L18:L25" si="5">D18/$A18</f>
        <v>1.3161458333333333</v>
      </c>
      <c r="M18" s="14">
        <f t="shared" ref="M18:M25" si="6">F18/$A18</f>
        <v>1.9742187499999997</v>
      </c>
      <c r="N18" s="14">
        <f t="shared" ref="N18:N25" si="7">E18/$A18</f>
        <v>1.6451822916666667</v>
      </c>
      <c r="O18" s="14">
        <f t="shared" ref="O18:O25" si="8">G18/$A18</f>
        <v>2.3502604166666665</v>
      </c>
      <c r="P18" s="14">
        <f t="shared" ref="P18:Q25" si="9">G18/$A18</f>
        <v>2.3502604166666665</v>
      </c>
      <c r="Q18" s="14">
        <f t="shared" si="9"/>
        <v>2.8203125</v>
      </c>
      <c r="R18" s="14"/>
    </row>
    <row r="19" spans="1:18" x14ac:dyDescent="0.4">
      <c r="A19" s="2">
        <v>52</v>
      </c>
      <c r="B19" s="16">
        <f>B5/2</f>
        <v>33.25</v>
      </c>
      <c r="C19" s="16">
        <f>C5/2</f>
        <v>49.875</v>
      </c>
      <c r="D19" s="16">
        <f>D5/2</f>
        <v>66.5</v>
      </c>
      <c r="E19" s="16">
        <f>E5/2</f>
        <v>83.125</v>
      </c>
      <c r="F19" s="16">
        <f>F5/2</f>
        <v>99.75</v>
      </c>
      <c r="G19" s="16">
        <f>G5/2</f>
        <v>118.75</v>
      </c>
      <c r="H19" s="16">
        <f>H5/2</f>
        <v>142.5</v>
      </c>
      <c r="I19" s="14"/>
      <c r="J19" s="14"/>
      <c r="K19" s="14">
        <f t="shared" si="4"/>
        <v>0.63942307692307687</v>
      </c>
      <c r="L19" s="14">
        <f t="shared" si="5"/>
        <v>1.2788461538461537</v>
      </c>
      <c r="M19" s="14">
        <f t="shared" si="6"/>
        <v>1.9182692307692308</v>
      </c>
      <c r="N19" s="14">
        <f t="shared" si="7"/>
        <v>1.5985576923076923</v>
      </c>
      <c r="O19" s="14">
        <f t="shared" si="8"/>
        <v>2.2836538461538463</v>
      </c>
      <c r="P19" s="14">
        <f t="shared" si="9"/>
        <v>2.2836538461538463</v>
      </c>
      <c r="Q19" s="14">
        <f t="shared" si="9"/>
        <v>2.7403846153846154</v>
      </c>
      <c r="R19" s="14"/>
    </row>
    <row r="20" spans="1:18" x14ac:dyDescent="0.4">
      <c r="A20" s="2">
        <v>56</v>
      </c>
      <c r="B20" s="16">
        <f>B6/2</f>
        <v>35</v>
      </c>
      <c r="C20" s="16">
        <f>C6/2</f>
        <v>52.5</v>
      </c>
      <c r="D20" s="16">
        <f>D6/2</f>
        <v>70</v>
      </c>
      <c r="E20" s="16">
        <f>E6/2</f>
        <v>87.5</v>
      </c>
      <c r="F20" s="16">
        <f>F6/2</f>
        <v>105</v>
      </c>
      <c r="G20" s="16">
        <f>G6/2</f>
        <v>125</v>
      </c>
      <c r="H20" s="16">
        <f>H6/2</f>
        <v>150</v>
      </c>
      <c r="I20" s="14"/>
      <c r="J20" s="14"/>
      <c r="K20" s="14">
        <f t="shared" si="4"/>
        <v>0.625</v>
      </c>
      <c r="L20" s="14">
        <f t="shared" si="5"/>
        <v>1.25</v>
      </c>
      <c r="M20" s="14">
        <f t="shared" si="6"/>
        <v>1.875</v>
      </c>
      <c r="N20" s="14">
        <f t="shared" si="7"/>
        <v>1.5625</v>
      </c>
      <c r="O20" s="14">
        <f t="shared" si="8"/>
        <v>2.2321428571428572</v>
      </c>
      <c r="P20" s="14">
        <f t="shared" si="9"/>
        <v>2.2321428571428572</v>
      </c>
      <c r="Q20" s="14">
        <f t="shared" si="9"/>
        <v>2.6785714285714284</v>
      </c>
      <c r="R20" s="14"/>
    </row>
    <row r="21" spans="1:18" x14ac:dyDescent="0.4">
      <c r="A21" s="2">
        <v>60</v>
      </c>
      <c r="B21" s="16">
        <f>B7/2</f>
        <v>36.75</v>
      </c>
      <c r="C21" s="16">
        <f>C7/2</f>
        <v>55.125</v>
      </c>
      <c r="D21" s="16">
        <f>D7/2</f>
        <v>73.5</v>
      </c>
      <c r="E21" s="16">
        <f>E7/2</f>
        <v>91.875</v>
      </c>
      <c r="F21" s="16">
        <f>F7/2</f>
        <v>110.25</v>
      </c>
      <c r="G21" s="16">
        <f>G7/2</f>
        <v>131.25</v>
      </c>
      <c r="H21" s="16">
        <f>H7/2</f>
        <v>157.5</v>
      </c>
      <c r="I21" s="14"/>
      <c r="J21" s="14"/>
      <c r="K21" s="14">
        <f t="shared" si="4"/>
        <v>0.61250000000000004</v>
      </c>
      <c r="L21" s="14">
        <f t="shared" si="5"/>
        <v>1.2250000000000001</v>
      </c>
      <c r="M21" s="14">
        <f t="shared" si="6"/>
        <v>1.8374999999999999</v>
      </c>
      <c r="N21" s="14">
        <f t="shared" si="7"/>
        <v>1.53125</v>
      </c>
      <c r="O21" s="14">
        <f t="shared" si="8"/>
        <v>2.1875</v>
      </c>
      <c r="P21" s="14">
        <f t="shared" si="9"/>
        <v>2.1875</v>
      </c>
      <c r="Q21" s="14">
        <f t="shared" si="9"/>
        <v>2.625</v>
      </c>
      <c r="R21" s="14"/>
    </row>
    <row r="22" spans="1:18" x14ac:dyDescent="0.4">
      <c r="A22" s="2">
        <v>67</v>
      </c>
      <c r="B22" s="16">
        <f>B8/2</f>
        <v>38.587499999999999</v>
      </c>
      <c r="C22" s="16">
        <f>C8/2</f>
        <v>57.881250000000001</v>
      </c>
      <c r="D22" s="16">
        <f>D8/2</f>
        <v>77.174999999999997</v>
      </c>
      <c r="E22" s="16">
        <f>E8/2</f>
        <v>96.46875</v>
      </c>
      <c r="F22" s="16">
        <f>F8/2</f>
        <v>115.7625</v>
      </c>
      <c r="G22" s="16">
        <f>G8/2</f>
        <v>137.8125</v>
      </c>
      <c r="H22" s="16">
        <f>H8/2</f>
        <v>165.375</v>
      </c>
      <c r="I22" s="14"/>
      <c r="J22" s="14"/>
      <c r="K22" s="14">
        <f t="shared" si="4"/>
        <v>0.57593283582089549</v>
      </c>
      <c r="L22" s="14">
        <f t="shared" si="5"/>
        <v>1.151865671641791</v>
      </c>
      <c r="M22" s="14">
        <f t="shared" si="6"/>
        <v>1.7277985074626867</v>
      </c>
      <c r="N22" s="14">
        <f t="shared" si="7"/>
        <v>1.4398320895522387</v>
      </c>
      <c r="O22" s="14">
        <f t="shared" si="8"/>
        <v>2.0569029850746268</v>
      </c>
      <c r="P22" s="14">
        <f t="shared" si="9"/>
        <v>2.0569029850746268</v>
      </c>
      <c r="Q22" s="14">
        <f t="shared" si="9"/>
        <v>2.4682835820895521</v>
      </c>
      <c r="R22" s="14"/>
    </row>
    <row r="23" spans="1:18" x14ac:dyDescent="0.4">
      <c r="A23" s="2">
        <v>75</v>
      </c>
      <c r="B23" s="16">
        <f>B9/2</f>
        <v>40.516874999999999</v>
      </c>
      <c r="C23" s="16">
        <f>C9/2</f>
        <v>60.775312500000005</v>
      </c>
      <c r="D23" s="16">
        <f>D9/2</f>
        <v>81.033749999999998</v>
      </c>
      <c r="E23" s="16">
        <f>E9/2</f>
        <v>101.29218750000001</v>
      </c>
      <c r="F23" s="16">
        <f>F9/2</f>
        <v>121.55062500000001</v>
      </c>
      <c r="G23" s="16">
        <f>G9/2</f>
        <v>144.703125</v>
      </c>
      <c r="H23" s="16">
        <f>H9/2</f>
        <v>173.64375000000001</v>
      </c>
      <c r="I23" s="14"/>
      <c r="J23" s="14"/>
      <c r="K23" s="14">
        <f t="shared" si="4"/>
        <v>0.54022499999999996</v>
      </c>
      <c r="L23" s="14">
        <f t="shared" si="5"/>
        <v>1.0804499999999999</v>
      </c>
      <c r="M23" s="14">
        <f t="shared" si="6"/>
        <v>1.6206750000000001</v>
      </c>
      <c r="N23" s="14">
        <f t="shared" si="7"/>
        <v>1.3505625000000001</v>
      </c>
      <c r="O23" s="14">
        <f t="shared" si="8"/>
        <v>1.9293750000000001</v>
      </c>
      <c r="P23" s="14">
        <f t="shared" si="9"/>
        <v>1.9293750000000001</v>
      </c>
      <c r="Q23" s="14">
        <f t="shared" si="9"/>
        <v>2.3152500000000003</v>
      </c>
      <c r="R23" s="14"/>
    </row>
    <row r="24" spans="1:18" x14ac:dyDescent="0.4">
      <c r="A24" s="2">
        <v>82</v>
      </c>
      <c r="B24" s="16">
        <f>B10/2</f>
        <v>42.542718749999999</v>
      </c>
      <c r="C24" s="16">
        <f>C10/2</f>
        <v>63.814078125000009</v>
      </c>
      <c r="D24" s="16">
        <f>D10/2</f>
        <v>85.085437499999998</v>
      </c>
      <c r="E24" s="16">
        <f>E10/2</f>
        <v>106.35679687500001</v>
      </c>
      <c r="F24" s="16">
        <f>F10/2</f>
        <v>127.62815625000002</v>
      </c>
      <c r="G24" s="16">
        <f>G10/2</f>
        <v>151.93828125000002</v>
      </c>
      <c r="H24" s="16">
        <f>H10/2</f>
        <v>182.32593750000001</v>
      </c>
      <c r="I24" s="14"/>
      <c r="J24" s="14"/>
      <c r="K24" s="14">
        <f t="shared" si="4"/>
        <v>0.51881364329268287</v>
      </c>
      <c r="L24" s="14">
        <f t="shared" si="5"/>
        <v>1.0376272865853657</v>
      </c>
      <c r="M24" s="14">
        <f t="shared" si="6"/>
        <v>1.5564409298780491</v>
      </c>
      <c r="N24" s="14">
        <f t="shared" si="7"/>
        <v>1.2970341082317074</v>
      </c>
      <c r="O24" s="14">
        <f t="shared" si="8"/>
        <v>1.8529058689024391</v>
      </c>
      <c r="P24" s="14">
        <f t="shared" si="9"/>
        <v>1.8529058689024391</v>
      </c>
      <c r="Q24" s="14">
        <f t="shared" si="9"/>
        <v>2.223487042682927</v>
      </c>
      <c r="R24" s="14"/>
    </row>
    <row r="25" spans="1:18" x14ac:dyDescent="0.4">
      <c r="A25" s="2">
        <v>90</v>
      </c>
      <c r="B25" s="16">
        <f>B11/2</f>
        <v>44.669854687499999</v>
      </c>
      <c r="C25" s="16">
        <f>C11/2</f>
        <v>67.004782031250016</v>
      </c>
      <c r="D25" s="16">
        <f>D11/2</f>
        <v>89.339709374999998</v>
      </c>
      <c r="E25" s="16">
        <f>E11/2</f>
        <v>111.67463671875002</v>
      </c>
      <c r="F25" s="16">
        <f>F11/2</f>
        <v>134.00956406250003</v>
      </c>
      <c r="G25" s="16">
        <f>G11/2</f>
        <v>159.53519531250004</v>
      </c>
      <c r="H25" s="16">
        <f>H11/2</f>
        <v>191.44223437500003</v>
      </c>
      <c r="I25" s="14"/>
      <c r="J25" s="14"/>
      <c r="K25" s="14">
        <f t="shared" si="4"/>
        <v>0.49633171874999998</v>
      </c>
      <c r="L25" s="14">
        <f t="shared" si="5"/>
        <v>0.99266343749999997</v>
      </c>
      <c r="M25" s="14">
        <f t="shared" si="6"/>
        <v>1.4889951562500003</v>
      </c>
      <c r="N25" s="14">
        <f t="shared" si="7"/>
        <v>1.2408292968750003</v>
      </c>
      <c r="O25" s="14">
        <f t="shared" si="8"/>
        <v>1.7726132812500004</v>
      </c>
      <c r="P25" s="14">
        <f t="shared" si="9"/>
        <v>1.7726132812500004</v>
      </c>
      <c r="Q25" s="14">
        <f t="shared" si="9"/>
        <v>2.1271359375000003</v>
      </c>
      <c r="R25" s="14"/>
    </row>
    <row r="26" spans="1:18" x14ac:dyDescent="0.4">
      <c r="A26" s="4"/>
      <c r="B26" s="16"/>
      <c r="C26" s="16"/>
      <c r="D26" s="16"/>
      <c r="E26" s="16"/>
      <c r="F26" s="16"/>
      <c r="G26" s="16"/>
      <c r="H26" s="16"/>
      <c r="I26" s="5"/>
      <c r="J26" s="14"/>
      <c r="K26" s="14"/>
      <c r="L26" s="14"/>
      <c r="M26" s="14"/>
      <c r="N26" s="14"/>
      <c r="O26" s="14"/>
      <c r="P26" s="14"/>
      <c r="Q26" s="14"/>
      <c r="R26" s="14"/>
    </row>
    <row r="27" spans="1:18" x14ac:dyDescent="0.4">
      <c r="A27" s="4"/>
      <c r="B27" s="16"/>
      <c r="C27" s="16"/>
      <c r="D27" s="16"/>
      <c r="E27" s="16"/>
      <c r="F27" s="16"/>
      <c r="G27" s="16"/>
      <c r="H27" s="16"/>
      <c r="I27" s="5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4" zoomScaleNormal="94" workbookViewId="0">
      <selection activeCell="J10" sqref="J10"/>
    </sheetView>
  </sheetViews>
  <sheetFormatPr defaultRowHeight="17.399999999999999" x14ac:dyDescent="0.4"/>
  <sheetData>
    <row r="1" spans="1:18" ht="25.2" x14ac:dyDescent="0.4">
      <c r="A1" s="25" t="s">
        <v>101</v>
      </c>
      <c r="B1" s="26"/>
      <c r="C1" s="26"/>
      <c r="D1" s="26"/>
      <c r="E1" s="26"/>
      <c r="F1" s="26"/>
      <c r="G1" s="26"/>
      <c r="H1" s="26"/>
      <c r="I1" s="14"/>
      <c r="J1" s="14"/>
      <c r="K1" s="25" t="s">
        <v>102</v>
      </c>
      <c r="L1" s="26"/>
      <c r="M1" s="26"/>
      <c r="N1" s="26"/>
      <c r="O1" s="26"/>
      <c r="P1" s="26"/>
      <c r="Q1" s="26"/>
      <c r="R1" s="26"/>
    </row>
    <row r="2" spans="1:18" x14ac:dyDescent="0.4">
      <c r="A2" s="1" t="s">
        <v>29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31</v>
      </c>
      <c r="G2" s="14" t="s">
        <v>13</v>
      </c>
      <c r="H2" s="14" t="s">
        <v>33</v>
      </c>
      <c r="I2" s="14"/>
      <c r="J2" s="14"/>
      <c r="K2" s="14" t="s">
        <v>8</v>
      </c>
      <c r="L2" s="14" t="s">
        <v>9</v>
      </c>
      <c r="M2" s="14" t="s">
        <v>10</v>
      </c>
      <c r="N2" s="14" t="s">
        <v>11</v>
      </c>
      <c r="O2" s="14" t="s">
        <v>31</v>
      </c>
      <c r="P2" s="14" t="s">
        <v>13</v>
      </c>
      <c r="Q2" s="14" t="s">
        <v>33</v>
      </c>
      <c r="R2" s="14"/>
    </row>
    <row r="3" spans="1:18" x14ac:dyDescent="0.4">
      <c r="A3" s="3">
        <v>55</v>
      </c>
      <c r="B3" s="16">
        <f t="shared" ref="B3:H5" si="0">B4*0.95</f>
        <v>25.721249999999998</v>
      </c>
      <c r="C3" s="16">
        <f t="shared" si="0"/>
        <v>42.868749999999999</v>
      </c>
      <c r="D3" s="16">
        <f t="shared" si="0"/>
        <v>60.016249999999992</v>
      </c>
      <c r="E3" s="16">
        <f t="shared" si="0"/>
        <v>77.163749999999993</v>
      </c>
      <c r="F3" s="16">
        <f t="shared" si="0"/>
        <v>94.311249999999987</v>
      </c>
      <c r="G3" s="16">
        <f t="shared" si="0"/>
        <v>111.45874999999998</v>
      </c>
      <c r="H3" s="16">
        <f t="shared" si="0"/>
        <v>128.60624999999999</v>
      </c>
      <c r="I3" s="14"/>
      <c r="J3" s="14"/>
      <c r="K3" s="14">
        <f t="shared" ref="K3:Q13" si="1">B3/$A3</f>
        <v>0.46765909090909086</v>
      </c>
      <c r="L3" s="14">
        <f t="shared" si="1"/>
        <v>0.77943181818181817</v>
      </c>
      <c r="M3" s="14">
        <f t="shared" si="1"/>
        <v>1.0912045454545454</v>
      </c>
      <c r="N3" s="14">
        <f t="shared" si="1"/>
        <v>1.4029772727272727</v>
      </c>
      <c r="O3" s="14">
        <f t="shared" si="1"/>
        <v>1.7147499999999998</v>
      </c>
      <c r="P3" s="14">
        <f t="shared" si="1"/>
        <v>2.0265227272727269</v>
      </c>
      <c r="Q3" s="14">
        <f t="shared" si="1"/>
        <v>2.3382954545454542</v>
      </c>
      <c r="R3" s="14"/>
    </row>
    <row r="4" spans="1:18" x14ac:dyDescent="0.4">
      <c r="A4" s="3">
        <v>60</v>
      </c>
      <c r="B4" s="16">
        <f t="shared" si="0"/>
        <v>27.074999999999999</v>
      </c>
      <c r="C4" s="16">
        <f t="shared" si="0"/>
        <v>45.125</v>
      </c>
      <c r="D4" s="16">
        <f t="shared" si="0"/>
        <v>63.174999999999997</v>
      </c>
      <c r="E4" s="16">
        <f t="shared" si="0"/>
        <v>81.224999999999994</v>
      </c>
      <c r="F4" s="16">
        <f t="shared" si="0"/>
        <v>99.274999999999991</v>
      </c>
      <c r="G4" s="16">
        <f t="shared" si="0"/>
        <v>117.32499999999999</v>
      </c>
      <c r="H4" s="16">
        <f t="shared" si="0"/>
        <v>135.375</v>
      </c>
      <c r="I4" s="14"/>
      <c r="J4" s="14"/>
      <c r="K4" s="14">
        <f t="shared" si="1"/>
        <v>0.45124999999999998</v>
      </c>
      <c r="L4" s="14">
        <f t="shared" si="1"/>
        <v>0.75208333333333333</v>
      </c>
      <c r="M4" s="14">
        <f t="shared" si="1"/>
        <v>1.0529166666666667</v>
      </c>
      <c r="N4" s="14">
        <f t="shared" si="1"/>
        <v>1.35375</v>
      </c>
      <c r="O4" s="14">
        <f t="shared" si="1"/>
        <v>1.6545833333333333</v>
      </c>
      <c r="P4" s="14">
        <f t="shared" si="1"/>
        <v>1.9554166666666666</v>
      </c>
      <c r="Q4" s="14">
        <f t="shared" si="1"/>
        <v>2.2562500000000001</v>
      </c>
      <c r="R4" s="14"/>
    </row>
    <row r="5" spans="1:18" x14ac:dyDescent="0.4">
      <c r="A5" s="3">
        <v>65</v>
      </c>
      <c r="B5" s="16">
        <f>B6*0.95</f>
        <v>28.5</v>
      </c>
      <c r="C5" s="16">
        <f t="shared" si="0"/>
        <v>47.5</v>
      </c>
      <c r="D5" s="16">
        <f t="shared" si="0"/>
        <v>66.5</v>
      </c>
      <c r="E5" s="16">
        <f t="shared" si="0"/>
        <v>85.5</v>
      </c>
      <c r="F5" s="16">
        <f t="shared" si="0"/>
        <v>104.5</v>
      </c>
      <c r="G5" s="16">
        <f t="shared" si="0"/>
        <v>123.5</v>
      </c>
      <c r="H5" s="16">
        <f t="shared" si="0"/>
        <v>142.5</v>
      </c>
      <c r="I5" s="14"/>
      <c r="J5" s="14"/>
      <c r="K5" s="14">
        <f t="shared" si="1"/>
        <v>0.43846153846153846</v>
      </c>
      <c r="L5" s="14">
        <f t="shared" si="1"/>
        <v>0.73076923076923073</v>
      </c>
      <c r="M5" s="14">
        <f t="shared" si="1"/>
        <v>1.023076923076923</v>
      </c>
      <c r="N5" s="14">
        <f t="shared" si="1"/>
        <v>1.3153846153846154</v>
      </c>
      <c r="O5" s="14">
        <f t="shared" si="1"/>
        <v>1.6076923076923078</v>
      </c>
      <c r="P5" s="14">
        <f t="shared" si="1"/>
        <v>1.9</v>
      </c>
      <c r="Q5" s="14">
        <f t="shared" si="1"/>
        <v>2.1923076923076925</v>
      </c>
      <c r="R5" s="14"/>
    </row>
    <row r="6" spans="1:18" x14ac:dyDescent="0.4">
      <c r="A6" s="3">
        <v>70</v>
      </c>
      <c r="B6" s="19">
        <v>30</v>
      </c>
      <c r="C6" s="19">
        <v>50</v>
      </c>
      <c r="D6" s="19">
        <v>70</v>
      </c>
      <c r="E6" s="19">
        <v>90</v>
      </c>
      <c r="F6" s="20">
        <v>110</v>
      </c>
      <c r="G6" s="19">
        <v>130</v>
      </c>
      <c r="H6" s="19">
        <v>150</v>
      </c>
      <c r="I6" s="14"/>
      <c r="J6" s="14"/>
      <c r="K6" s="14">
        <f t="shared" si="1"/>
        <v>0.42857142857142855</v>
      </c>
      <c r="L6" s="14">
        <f t="shared" si="1"/>
        <v>0.7142857142857143</v>
      </c>
      <c r="M6" s="14">
        <f t="shared" si="1"/>
        <v>1</v>
      </c>
      <c r="N6" s="14">
        <f t="shared" si="1"/>
        <v>1.2857142857142858</v>
      </c>
      <c r="O6" s="14">
        <f t="shared" si="1"/>
        <v>1.5714285714285714</v>
      </c>
      <c r="P6" s="14">
        <f t="shared" si="1"/>
        <v>1.8571428571428572</v>
      </c>
      <c r="Q6" s="14">
        <f t="shared" si="1"/>
        <v>2.1428571428571428</v>
      </c>
      <c r="R6" s="14"/>
    </row>
    <row r="7" spans="1:18" x14ac:dyDescent="0.4">
      <c r="A7" s="3">
        <v>75</v>
      </c>
      <c r="B7" s="18">
        <f>B6*1.05</f>
        <v>31.5</v>
      </c>
      <c r="C7" s="18">
        <f t="shared" ref="C7:H13" si="2">C6*1.05</f>
        <v>52.5</v>
      </c>
      <c r="D7" s="18">
        <f t="shared" si="2"/>
        <v>73.5</v>
      </c>
      <c r="E7" s="18">
        <f t="shared" si="2"/>
        <v>94.5</v>
      </c>
      <c r="F7" s="18">
        <f t="shared" si="2"/>
        <v>115.5</v>
      </c>
      <c r="G7" s="18">
        <f t="shared" si="2"/>
        <v>136.5</v>
      </c>
      <c r="H7" s="18">
        <f t="shared" si="2"/>
        <v>157.5</v>
      </c>
      <c r="I7" s="14"/>
      <c r="J7" s="14"/>
      <c r="K7" s="14">
        <f t="shared" si="1"/>
        <v>0.42</v>
      </c>
      <c r="L7" s="14">
        <f t="shared" si="1"/>
        <v>0.7</v>
      </c>
      <c r="M7" s="14">
        <f t="shared" si="1"/>
        <v>0.98</v>
      </c>
      <c r="N7" s="14">
        <f t="shared" si="1"/>
        <v>1.26</v>
      </c>
      <c r="O7" s="14">
        <f t="shared" si="1"/>
        <v>1.54</v>
      </c>
      <c r="P7" s="14">
        <f t="shared" si="1"/>
        <v>1.82</v>
      </c>
      <c r="Q7" s="14">
        <f t="shared" si="1"/>
        <v>2.1</v>
      </c>
      <c r="R7" s="14"/>
    </row>
    <row r="8" spans="1:18" x14ac:dyDescent="0.4">
      <c r="A8" s="3">
        <v>82</v>
      </c>
      <c r="B8" s="18">
        <f t="shared" ref="B8:B13" si="3">B7*1.05</f>
        <v>33.075000000000003</v>
      </c>
      <c r="C8" s="18">
        <f t="shared" si="2"/>
        <v>55.125</v>
      </c>
      <c r="D8" s="18">
        <f t="shared" si="2"/>
        <v>77.174999999999997</v>
      </c>
      <c r="E8" s="18">
        <f t="shared" si="2"/>
        <v>99.225000000000009</v>
      </c>
      <c r="F8" s="18">
        <f t="shared" si="2"/>
        <v>121.27500000000001</v>
      </c>
      <c r="G8" s="18">
        <f t="shared" si="2"/>
        <v>143.32500000000002</v>
      </c>
      <c r="H8" s="18">
        <f t="shared" si="2"/>
        <v>165.375</v>
      </c>
      <c r="I8" s="14"/>
      <c r="J8" s="14"/>
      <c r="K8" s="14">
        <f t="shared" si="1"/>
        <v>0.40335365853658539</v>
      </c>
      <c r="L8" s="14">
        <f t="shared" si="1"/>
        <v>0.6722560975609756</v>
      </c>
      <c r="M8" s="14">
        <f t="shared" si="1"/>
        <v>0.94115853658536586</v>
      </c>
      <c r="N8" s="14">
        <f t="shared" si="1"/>
        <v>1.2100609756097562</v>
      </c>
      <c r="O8" s="14">
        <f t="shared" si="1"/>
        <v>1.4789634146341464</v>
      </c>
      <c r="P8" s="14">
        <f t="shared" si="1"/>
        <v>1.7478658536585368</v>
      </c>
      <c r="Q8" s="14">
        <f t="shared" si="1"/>
        <v>2.0167682926829267</v>
      </c>
      <c r="R8" s="14"/>
    </row>
    <row r="9" spans="1:18" x14ac:dyDescent="0.4">
      <c r="A9" s="3">
        <v>90</v>
      </c>
      <c r="B9" s="18">
        <f t="shared" si="3"/>
        <v>34.728750000000005</v>
      </c>
      <c r="C9" s="18">
        <f t="shared" si="2"/>
        <v>57.881250000000001</v>
      </c>
      <c r="D9" s="18">
        <f t="shared" si="2"/>
        <v>81.033749999999998</v>
      </c>
      <c r="E9" s="18">
        <f t="shared" si="2"/>
        <v>104.18625000000002</v>
      </c>
      <c r="F9" s="18">
        <f t="shared" si="2"/>
        <v>127.33875</v>
      </c>
      <c r="G9" s="18">
        <f t="shared" si="2"/>
        <v>150.49125000000004</v>
      </c>
      <c r="H9" s="18">
        <f t="shared" si="2"/>
        <v>173.64375000000001</v>
      </c>
      <c r="I9" s="14"/>
      <c r="J9" s="14"/>
      <c r="K9" s="14">
        <f t="shared" si="1"/>
        <v>0.38587500000000008</v>
      </c>
      <c r="L9" s="14">
        <f t="shared" si="1"/>
        <v>0.64312500000000006</v>
      </c>
      <c r="M9" s="14">
        <f t="shared" si="1"/>
        <v>0.90037499999999993</v>
      </c>
      <c r="N9" s="14">
        <f t="shared" si="1"/>
        <v>1.1576250000000001</v>
      </c>
      <c r="O9" s="14">
        <f t="shared" si="1"/>
        <v>1.4148750000000001</v>
      </c>
      <c r="P9" s="14">
        <f t="shared" si="1"/>
        <v>1.6721250000000003</v>
      </c>
      <c r="Q9" s="14">
        <f t="shared" si="1"/>
        <v>1.9293750000000001</v>
      </c>
      <c r="R9" s="14"/>
    </row>
    <row r="10" spans="1:18" x14ac:dyDescent="0.4">
      <c r="A10" s="3">
        <v>100</v>
      </c>
      <c r="B10" s="18">
        <f t="shared" si="3"/>
        <v>36.465187500000006</v>
      </c>
      <c r="C10" s="18">
        <f t="shared" si="2"/>
        <v>60.775312500000005</v>
      </c>
      <c r="D10" s="18">
        <f t="shared" si="2"/>
        <v>85.085437499999998</v>
      </c>
      <c r="E10" s="18">
        <f t="shared" si="2"/>
        <v>109.39556250000003</v>
      </c>
      <c r="F10" s="18">
        <f t="shared" si="2"/>
        <v>133.70568750000001</v>
      </c>
      <c r="G10" s="18">
        <f t="shared" si="2"/>
        <v>158.01581250000004</v>
      </c>
      <c r="H10" s="18">
        <f t="shared" si="2"/>
        <v>182.32593750000001</v>
      </c>
      <c r="I10" s="14"/>
      <c r="J10" s="14"/>
      <c r="K10" s="14">
        <f t="shared" si="1"/>
        <v>0.36465187500000007</v>
      </c>
      <c r="L10" s="14">
        <f t="shared" si="1"/>
        <v>0.60775312500000001</v>
      </c>
      <c r="M10" s="14">
        <f t="shared" si="1"/>
        <v>0.85085437499999994</v>
      </c>
      <c r="N10" s="14">
        <f t="shared" si="1"/>
        <v>1.0939556250000002</v>
      </c>
      <c r="O10" s="14">
        <f t="shared" si="1"/>
        <v>1.337056875</v>
      </c>
      <c r="P10" s="14">
        <f t="shared" si="1"/>
        <v>1.5801581250000003</v>
      </c>
      <c r="Q10" s="14">
        <f t="shared" si="1"/>
        <v>1.8232593750000001</v>
      </c>
      <c r="R10" s="14"/>
    </row>
    <row r="11" spans="1:18" x14ac:dyDescent="0.4">
      <c r="A11" s="3">
        <v>110</v>
      </c>
      <c r="B11" s="18">
        <f t="shared" si="3"/>
        <v>38.288446875000005</v>
      </c>
      <c r="C11" s="18">
        <f t="shared" si="2"/>
        <v>63.814078125000009</v>
      </c>
      <c r="D11" s="18">
        <f t="shared" si="2"/>
        <v>89.339709374999998</v>
      </c>
      <c r="E11" s="18">
        <f t="shared" si="2"/>
        <v>114.86534062500003</v>
      </c>
      <c r="F11" s="18">
        <f t="shared" si="2"/>
        <v>140.39097187500002</v>
      </c>
      <c r="G11" s="18">
        <f t="shared" si="2"/>
        <v>165.91660312500005</v>
      </c>
      <c r="H11" s="18">
        <f t="shared" si="2"/>
        <v>191.44223437500003</v>
      </c>
      <c r="I11" s="14"/>
      <c r="J11" s="14"/>
      <c r="K11" s="14">
        <f t="shared" si="1"/>
        <v>0.34807678977272732</v>
      </c>
      <c r="L11" s="14">
        <f t="shared" si="1"/>
        <v>0.58012798295454548</v>
      </c>
      <c r="M11" s="14">
        <f t="shared" si="1"/>
        <v>0.81217917613636359</v>
      </c>
      <c r="N11" s="14">
        <f t="shared" si="1"/>
        <v>1.044230369318182</v>
      </c>
      <c r="O11" s="14">
        <f t="shared" si="1"/>
        <v>1.2762815625000001</v>
      </c>
      <c r="P11" s="14">
        <f t="shared" si="1"/>
        <v>1.5083327556818187</v>
      </c>
      <c r="Q11" s="14">
        <f t="shared" si="1"/>
        <v>1.7403839488636366</v>
      </c>
      <c r="R11" s="14"/>
    </row>
    <row r="12" spans="1:18" x14ac:dyDescent="0.4">
      <c r="A12" s="3">
        <v>120</v>
      </c>
      <c r="B12" s="18">
        <f t="shared" si="3"/>
        <v>40.20286921875001</v>
      </c>
      <c r="C12" s="18">
        <f t="shared" si="2"/>
        <v>67.004782031250016</v>
      </c>
      <c r="D12" s="18">
        <f t="shared" si="2"/>
        <v>93.806694843750009</v>
      </c>
      <c r="E12" s="18">
        <f t="shared" si="2"/>
        <v>120.60860765625004</v>
      </c>
      <c r="F12" s="18">
        <f t="shared" si="2"/>
        <v>147.41052046875004</v>
      </c>
      <c r="G12" s="18">
        <f t="shared" si="2"/>
        <v>174.21243328125007</v>
      </c>
      <c r="H12" s="18">
        <f t="shared" si="2"/>
        <v>201.01434609375005</v>
      </c>
      <c r="I12" s="14"/>
      <c r="J12" s="14"/>
      <c r="K12" s="14">
        <f t="shared" si="1"/>
        <v>0.3350239101562501</v>
      </c>
      <c r="L12" s="14">
        <f t="shared" si="1"/>
        <v>0.5583731835937501</v>
      </c>
      <c r="M12" s="14">
        <f t="shared" si="1"/>
        <v>0.7817224570312501</v>
      </c>
      <c r="N12" s="14">
        <f t="shared" si="1"/>
        <v>1.0050717304687504</v>
      </c>
      <c r="O12" s="14">
        <f t="shared" si="1"/>
        <v>1.2284210039062502</v>
      </c>
      <c r="P12" s="14">
        <f t="shared" si="1"/>
        <v>1.4517702773437506</v>
      </c>
      <c r="Q12" s="14">
        <f t="shared" si="1"/>
        <v>1.6751195507812504</v>
      </c>
      <c r="R12" s="14"/>
    </row>
    <row r="13" spans="1:18" x14ac:dyDescent="0.4">
      <c r="A13" s="3">
        <v>130</v>
      </c>
      <c r="B13" s="18">
        <f t="shared" si="3"/>
        <v>42.213012679687509</v>
      </c>
      <c r="C13" s="18">
        <f t="shared" si="2"/>
        <v>70.355021132812524</v>
      </c>
      <c r="D13" s="18">
        <f t="shared" si="2"/>
        <v>98.497029585937511</v>
      </c>
      <c r="E13" s="18">
        <f t="shared" si="2"/>
        <v>126.63903803906256</v>
      </c>
      <c r="F13" s="18">
        <f t="shared" si="2"/>
        <v>154.78104649218756</v>
      </c>
      <c r="G13" s="18">
        <f t="shared" si="2"/>
        <v>182.92305494531257</v>
      </c>
      <c r="H13" s="18">
        <f t="shared" si="2"/>
        <v>211.06506339843756</v>
      </c>
      <c r="I13" s="14"/>
      <c r="J13" s="14"/>
      <c r="K13" s="14">
        <f t="shared" si="1"/>
        <v>0.32471548215144236</v>
      </c>
      <c r="L13" s="14">
        <f t="shared" si="1"/>
        <v>0.54119247025240402</v>
      </c>
      <c r="M13" s="14">
        <f t="shared" si="1"/>
        <v>0.75766945835336552</v>
      </c>
      <c r="N13" s="14">
        <f t="shared" si="1"/>
        <v>0.97414644645432735</v>
      </c>
      <c r="O13" s="14">
        <f t="shared" si="1"/>
        <v>1.1906234345552889</v>
      </c>
      <c r="P13" s="14">
        <f t="shared" si="1"/>
        <v>1.4071004226562505</v>
      </c>
      <c r="Q13" s="14">
        <f t="shared" si="1"/>
        <v>1.6235774107572121</v>
      </c>
      <c r="R13" s="14"/>
    </row>
    <row r="14" spans="1:18" x14ac:dyDescent="0.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27.6" x14ac:dyDescent="0.4">
      <c r="A15" s="25" t="s">
        <v>103</v>
      </c>
      <c r="B15" s="26"/>
      <c r="C15" s="26"/>
      <c r="D15" s="26"/>
      <c r="E15" s="26"/>
      <c r="F15" s="26"/>
      <c r="G15" s="26"/>
      <c r="H15" s="26"/>
      <c r="I15" s="14"/>
      <c r="J15" s="14"/>
      <c r="K15" s="27" t="s">
        <v>104</v>
      </c>
      <c r="L15" s="28"/>
      <c r="M15" s="28"/>
      <c r="N15" s="28"/>
      <c r="O15" s="28"/>
      <c r="P15" s="28"/>
      <c r="Q15" s="28"/>
      <c r="R15" s="28"/>
    </row>
    <row r="16" spans="1:18" x14ac:dyDescent="0.4">
      <c r="A16" s="1" t="s">
        <v>29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31</v>
      </c>
      <c r="G16" s="14" t="s">
        <v>13</v>
      </c>
      <c r="H16" s="14" t="s">
        <v>33</v>
      </c>
      <c r="I16" s="14"/>
      <c r="J16" s="14"/>
      <c r="K16" s="14" t="s">
        <v>8</v>
      </c>
      <c r="L16" s="14" t="s">
        <v>9</v>
      </c>
      <c r="M16" s="14" t="s">
        <v>10</v>
      </c>
      <c r="N16" s="14" t="s">
        <v>11</v>
      </c>
      <c r="O16" s="14" t="s">
        <v>31</v>
      </c>
      <c r="P16" s="14" t="s">
        <v>13</v>
      </c>
      <c r="Q16" s="14" t="s">
        <v>33</v>
      </c>
      <c r="R16" s="14"/>
    </row>
    <row r="17" spans="1:18" x14ac:dyDescent="0.4">
      <c r="A17" s="2">
        <v>44</v>
      </c>
      <c r="B17" s="16">
        <f>B3/2</f>
        <v>12.860624999999999</v>
      </c>
      <c r="C17" s="16">
        <f>C3/2</f>
        <v>21.434374999999999</v>
      </c>
      <c r="D17" s="16">
        <f>D3/2</f>
        <v>30.008124999999996</v>
      </c>
      <c r="E17" s="16">
        <f>E3/2</f>
        <v>38.581874999999997</v>
      </c>
      <c r="F17" s="16">
        <f>F3/2</f>
        <v>47.155624999999993</v>
      </c>
      <c r="G17" s="16">
        <f>G3/2</f>
        <v>55.72937499999999</v>
      </c>
      <c r="H17" s="16">
        <f>H3/2</f>
        <v>64.303124999999994</v>
      </c>
      <c r="I17" s="14"/>
      <c r="J17" s="14"/>
      <c r="K17" s="14">
        <f>B17/$A17</f>
        <v>0.29228693181818177</v>
      </c>
      <c r="L17" s="14">
        <f>D17/$A17</f>
        <v>0.6820028409090908</v>
      </c>
      <c r="M17" s="14">
        <f>F17/$A17</f>
        <v>1.0717187499999998</v>
      </c>
      <c r="N17" s="14">
        <f>E17/$A17</f>
        <v>0.87686079545454543</v>
      </c>
      <c r="O17" s="14">
        <f>G17/$A17</f>
        <v>1.2665767045454543</v>
      </c>
      <c r="P17" s="14">
        <f>G17/$A17</f>
        <v>1.2665767045454543</v>
      </c>
      <c r="Q17" s="14">
        <f>H17/$A17</f>
        <v>1.4614346590909089</v>
      </c>
      <c r="R17" s="14"/>
    </row>
    <row r="18" spans="1:18" x14ac:dyDescent="0.4">
      <c r="A18" s="2">
        <v>48</v>
      </c>
      <c r="B18" s="16">
        <f>B4/2</f>
        <v>13.5375</v>
      </c>
      <c r="C18" s="16">
        <f>C4/2</f>
        <v>22.5625</v>
      </c>
      <c r="D18" s="16">
        <f>D4/2</f>
        <v>31.587499999999999</v>
      </c>
      <c r="E18" s="16">
        <f>E4/2</f>
        <v>40.612499999999997</v>
      </c>
      <c r="F18" s="16">
        <f>F4/2</f>
        <v>49.637499999999996</v>
      </c>
      <c r="G18" s="16">
        <f>G4/2</f>
        <v>58.662499999999994</v>
      </c>
      <c r="H18" s="16">
        <f>H4/2</f>
        <v>67.6875</v>
      </c>
      <c r="I18" s="14"/>
      <c r="J18" s="14"/>
      <c r="K18" s="14">
        <f t="shared" ref="K18:K25" si="4">B18/$A18</f>
        <v>0.28203125000000001</v>
      </c>
      <c r="L18" s="14">
        <f t="shared" ref="L18:L25" si="5">D18/$A18</f>
        <v>0.65807291666666667</v>
      </c>
      <c r="M18" s="14">
        <f t="shared" ref="M18:M25" si="6">F18/$A18</f>
        <v>1.0341145833333332</v>
      </c>
      <c r="N18" s="14">
        <f t="shared" ref="N18:N25" si="7">E18/$A18</f>
        <v>0.84609374999999998</v>
      </c>
      <c r="O18" s="14">
        <f t="shared" ref="O18:O25" si="8">G18/$A18</f>
        <v>1.2221354166666665</v>
      </c>
      <c r="P18" s="14">
        <f t="shared" ref="P18:Q25" si="9">G18/$A18</f>
        <v>1.2221354166666665</v>
      </c>
      <c r="Q18" s="14">
        <f t="shared" si="9"/>
        <v>1.41015625</v>
      </c>
      <c r="R18" s="14"/>
    </row>
    <row r="19" spans="1:18" x14ac:dyDescent="0.4">
      <c r="A19" s="2">
        <v>52</v>
      </c>
      <c r="B19" s="16">
        <f>B5/2</f>
        <v>14.25</v>
      </c>
      <c r="C19" s="16">
        <f>C5/2</f>
        <v>23.75</v>
      </c>
      <c r="D19" s="16">
        <f>D5/2</f>
        <v>33.25</v>
      </c>
      <c r="E19" s="16">
        <f>E5/2</f>
        <v>42.75</v>
      </c>
      <c r="F19" s="16">
        <f>F5/2</f>
        <v>52.25</v>
      </c>
      <c r="G19" s="16">
        <f>G5/2</f>
        <v>61.75</v>
      </c>
      <c r="H19" s="16">
        <f>H5/2</f>
        <v>71.25</v>
      </c>
      <c r="I19" s="14"/>
      <c r="J19" s="14"/>
      <c r="K19" s="14">
        <f t="shared" si="4"/>
        <v>0.27403846153846156</v>
      </c>
      <c r="L19" s="14">
        <f t="shared" si="5"/>
        <v>0.63942307692307687</v>
      </c>
      <c r="M19" s="14">
        <f t="shared" si="6"/>
        <v>1.0048076923076923</v>
      </c>
      <c r="N19" s="14">
        <f t="shared" si="7"/>
        <v>0.82211538461538458</v>
      </c>
      <c r="O19" s="14">
        <f t="shared" si="8"/>
        <v>1.1875</v>
      </c>
      <c r="P19" s="14">
        <f t="shared" si="9"/>
        <v>1.1875</v>
      </c>
      <c r="Q19" s="14">
        <f t="shared" si="9"/>
        <v>1.3701923076923077</v>
      </c>
      <c r="R19" s="14"/>
    </row>
    <row r="20" spans="1:18" x14ac:dyDescent="0.4">
      <c r="A20" s="2">
        <v>56</v>
      </c>
      <c r="B20" s="16">
        <f>B6/2</f>
        <v>15</v>
      </c>
      <c r="C20" s="16">
        <f>C6/2</f>
        <v>25</v>
      </c>
      <c r="D20" s="16">
        <f>D6/2</f>
        <v>35</v>
      </c>
      <c r="E20" s="16">
        <f>E6/2</f>
        <v>45</v>
      </c>
      <c r="F20" s="16">
        <f>F6/2</f>
        <v>55</v>
      </c>
      <c r="G20" s="16">
        <f>G6/2</f>
        <v>65</v>
      </c>
      <c r="H20" s="16">
        <f>H6/2</f>
        <v>75</v>
      </c>
      <c r="I20" s="14"/>
      <c r="J20" s="14"/>
      <c r="K20" s="14">
        <f t="shared" si="4"/>
        <v>0.26785714285714285</v>
      </c>
      <c r="L20" s="14">
        <f t="shared" si="5"/>
        <v>0.625</v>
      </c>
      <c r="M20" s="14">
        <f t="shared" si="6"/>
        <v>0.9821428571428571</v>
      </c>
      <c r="N20" s="14">
        <f t="shared" si="7"/>
        <v>0.8035714285714286</v>
      </c>
      <c r="O20" s="14">
        <f t="shared" si="8"/>
        <v>1.1607142857142858</v>
      </c>
      <c r="P20" s="14">
        <f t="shared" si="9"/>
        <v>1.1607142857142858</v>
      </c>
      <c r="Q20" s="14">
        <f t="shared" si="9"/>
        <v>1.3392857142857142</v>
      </c>
      <c r="R20" s="14"/>
    </row>
    <row r="21" spans="1:18" x14ac:dyDescent="0.4">
      <c r="A21" s="2">
        <v>60</v>
      </c>
      <c r="B21" s="16">
        <f>B7/2</f>
        <v>15.75</v>
      </c>
      <c r="C21" s="16">
        <f>C7/2</f>
        <v>26.25</v>
      </c>
      <c r="D21" s="16">
        <f>D7/2</f>
        <v>36.75</v>
      </c>
      <c r="E21" s="16">
        <f>E7/2</f>
        <v>47.25</v>
      </c>
      <c r="F21" s="16">
        <f>F7/2</f>
        <v>57.75</v>
      </c>
      <c r="G21" s="16">
        <f>G7/2</f>
        <v>68.25</v>
      </c>
      <c r="H21" s="16">
        <f>H7/2</f>
        <v>78.75</v>
      </c>
      <c r="I21" s="14"/>
      <c r="J21" s="14"/>
      <c r="K21" s="14">
        <f t="shared" si="4"/>
        <v>0.26250000000000001</v>
      </c>
      <c r="L21" s="14">
        <f t="shared" si="5"/>
        <v>0.61250000000000004</v>
      </c>
      <c r="M21" s="14">
        <f t="shared" si="6"/>
        <v>0.96250000000000002</v>
      </c>
      <c r="N21" s="14">
        <f t="shared" si="7"/>
        <v>0.78749999999999998</v>
      </c>
      <c r="O21" s="14">
        <f t="shared" si="8"/>
        <v>1.1375</v>
      </c>
      <c r="P21" s="14">
        <f t="shared" si="9"/>
        <v>1.1375</v>
      </c>
      <c r="Q21" s="14">
        <f t="shared" si="9"/>
        <v>1.3125</v>
      </c>
      <c r="R21" s="14"/>
    </row>
    <row r="22" spans="1:18" x14ac:dyDescent="0.4">
      <c r="A22" s="2">
        <v>67</v>
      </c>
      <c r="B22" s="16">
        <f>B8/2</f>
        <v>16.537500000000001</v>
      </c>
      <c r="C22" s="16">
        <f>C8/2</f>
        <v>27.5625</v>
      </c>
      <c r="D22" s="16">
        <f>D8/2</f>
        <v>38.587499999999999</v>
      </c>
      <c r="E22" s="16">
        <f>E8/2</f>
        <v>49.612500000000004</v>
      </c>
      <c r="F22" s="16">
        <f>F8/2</f>
        <v>60.637500000000003</v>
      </c>
      <c r="G22" s="16">
        <f>G8/2</f>
        <v>71.662500000000009</v>
      </c>
      <c r="H22" s="16">
        <f>H8/2</f>
        <v>82.6875</v>
      </c>
      <c r="I22" s="14"/>
      <c r="J22" s="14"/>
      <c r="K22" s="14">
        <f t="shared" si="4"/>
        <v>0.24682835820895524</v>
      </c>
      <c r="L22" s="14">
        <f t="shared" si="5"/>
        <v>0.57593283582089549</v>
      </c>
      <c r="M22" s="14">
        <f t="shared" si="6"/>
        <v>0.90503731343283589</v>
      </c>
      <c r="N22" s="14">
        <f t="shared" si="7"/>
        <v>0.74048507462686575</v>
      </c>
      <c r="O22" s="14">
        <f t="shared" si="8"/>
        <v>1.0695895522388061</v>
      </c>
      <c r="P22" s="14">
        <f t="shared" si="9"/>
        <v>1.0695895522388061</v>
      </c>
      <c r="Q22" s="14">
        <f t="shared" si="9"/>
        <v>1.2341417910447761</v>
      </c>
      <c r="R22" s="14"/>
    </row>
    <row r="23" spans="1:18" x14ac:dyDescent="0.4">
      <c r="A23" s="2">
        <v>75</v>
      </c>
      <c r="B23" s="16">
        <f>B9/2</f>
        <v>17.364375000000003</v>
      </c>
      <c r="C23" s="16">
        <f>C9/2</f>
        <v>28.940625000000001</v>
      </c>
      <c r="D23" s="16">
        <f>D9/2</f>
        <v>40.516874999999999</v>
      </c>
      <c r="E23" s="16">
        <f>E9/2</f>
        <v>52.093125000000008</v>
      </c>
      <c r="F23" s="16">
        <f>F9/2</f>
        <v>63.669375000000002</v>
      </c>
      <c r="G23" s="16">
        <f>G9/2</f>
        <v>75.245625000000018</v>
      </c>
      <c r="H23" s="16">
        <f>H9/2</f>
        <v>86.821875000000006</v>
      </c>
      <c r="I23" s="14"/>
      <c r="J23" s="14"/>
      <c r="K23" s="14">
        <f t="shared" si="4"/>
        <v>0.23152500000000004</v>
      </c>
      <c r="L23" s="14">
        <f t="shared" si="5"/>
        <v>0.54022499999999996</v>
      </c>
      <c r="M23" s="14">
        <f t="shared" si="6"/>
        <v>0.84892500000000004</v>
      </c>
      <c r="N23" s="14">
        <f t="shared" si="7"/>
        <v>0.69457500000000005</v>
      </c>
      <c r="O23" s="14">
        <f t="shared" si="8"/>
        <v>1.0032750000000001</v>
      </c>
      <c r="P23" s="14">
        <f t="shared" si="9"/>
        <v>1.0032750000000001</v>
      </c>
      <c r="Q23" s="14">
        <f t="shared" si="9"/>
        <v>1.1576250000000001</v>
      </c>
      <c r="R23" s="14"/>
    </row>
    <row r="24" spans="1:18" x14ac:dyDescent="0.4">
      <c r="A24" s="2">
        <v>82</v>
      </c>
      <c r="B24" s="16">
        <f>B10/2</f>
        <v>18.232593750000003</v>
      </c>
      <c r="C24" s="16">
        <f>C10/2</f>
        <v>30.387656250000003</v>
      </c>
      <c r="D24" s="16">
        <f>D10/2</f>
        <v>42.542718749999999</v>
      </c>
      <c r="E24" s="16">
        <f>E10/2</f>
        <v>54.697781250000013</v>
      </c>
      <c r="F24" s="16">
        <f>F10/2</f>
        <v>66.852843750000005</v>
      </c>
      <c r="G24" s="16">
        <f>G10/2</f>
        <v>79.007906250000019</v>
      </c>
      <c r="H24" s="16">
        <f>H10/2</f>
        <v>91.162968750000005</v>
      </c>
      <c r="I24" s="14"/>
      <c r="J24" s="14"/>
      <c r="K24" s="14">
        <f t="shared" si="4"/>
        <v>0.22234870426829273</v>
      </c>
      <c r="L24" s="14">
        <f t="shared" si="5"/>
        <v>0.51881364329268287</v>
      </c>
      <c r="M24" s="14">
        <f t="shared" si="6"/>
        <v>0.81527858231707329</v>
      </c>
      <c r="N24" s="14">
        <f t="shared" si="7"/>
        <v>0.66704611280487824</v>
      </c>
      <c r="O24" s="14">
        <f t="shared" si="8"/>
        <v>0.96351105182926855</v>
      </c>
      <c r="P24" s="14">
        <f t="shared" si="9"/>
        <v>0.96351105182926855</v>
      </c>
      <c r="Q24" s="14">
        <f t="shared" si="9"/>
        <v>1.1117435213414635</v>
      </c>
      <c r="R24" s="14"/>
    </row>
    <row r="25" spans="1:18" x14ac:dyDescent="0.4">
      <c r="A25" s="2">
        <v>90</v>
      </c>
      <c r="B25" s="16">
        <f>B11/2</f>
        <v>19.144223437500003</v>
      </c>
      <c r="C25" s="16">
        <f>C11/2</f>
        <v>31.907039062500004</v>
      </c>
      <c r="D25" s="16">
        <f>D11/2</f>
        <v>44.669854687499999</v>
      </c>
      <c r="E25" s="16">
        <f>E11/2</f>
        <v>57.432670312500015</v>
      </c>
      <c r="F25" s="16">
        <f>F11/2</f>
        <v>70.19548593750001</v>
      </c>
      <c r="G25" s="16">
        <f>G11/2</f>
        <v>82.958301562500026</v>
      </c>
      <c r="H25" s="16">
        <f>H11/2</f>
        <v>95.721117187500013</v>
      </c>
      <c r="I25" s="14"/>
      <c r="J25" s="14"/>
      <c r="K25" s="14">
        <f t="shared" si="4"/>
        <v>0.21271359375000004</v>
      </c>
      <c r="L25" s="14">
        <f t="shared" si="5"/>
        <v>0.49633171874999998</v>
      </c>
      <c r="M25" s="14">
        <f t="shared" si="6"/>
        <v>0.77994984375000009</v>
      </c>
      <c r="N25" s="14">
        <f t="shared" si="7"/>
        <v>0.63814078125000018</v>
      </c>
      <c r="O25" s="14">
        <f t="shared" si="8"/>
        <v>0.92175890625000023</v>
      </c>
      <c r="P25" s="14">
        <f t="shared" si="9"/>
        <v>0.92175890625000023</v>
      </c>
      <c r="Q25" s="14">
        <f t="shared" si="9"/>
        <v>1.0635679687500001</v>
      </c>
      <c r="R25" s="14"/>
    </row>
    <row r="26" spans="1:18" x14ac:dyDescent="0.4">
      <c r="A26" s="4"/>
      <c r="B26" s="16"/>
      <c r="C26" s="16"/>
      <c r="D26" s="16"/>
      <c r="E26" s="16"/>
      <c r="F26" s="16"/>
      <c r="G26" s="16"/>
      <c r="H26" s="16"/>
      <c r="I26" s="5"/>
      <c r="J26" s="14"/>
      <c r="K26" s="14"/>
      <c r="L26" s="14"/>
      <c r="M26" s="14"/>
      <c r="N26" s="14"/>
      <c r="O26" s="14"/>
      <c r="P26" s="14"/>
      <c r="Q26" s="14"/>
      <c r="R26" s="14"/>
    </row>
    <row r="27" spans="1:18" x14ac:dyDescent="0.4">
      <c r="A27" s="4"/>
      <c r="B27" s="16"/>
      <c r="C27" s="16"/>
      <c r="D27" s="16"/>
      <c r="E27" s="16"/>
      <c r="F27" s="16"/>
      <c r="G27" s="16"/>
      <c r="H27" s="16"/>
      <c r="I27" s="5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4">
    <mergeCell ref="A1:H1"/>
    <mergeCell ref="K1:R1"/>
    <mergeCell ref="A15:H15"/>
    <mergeCell ref="K15:R15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opLeftCell="A2" zoomScale="94" zoomScaleNormal="94" workbookViewId="0">
      <selection activeCell="J15" sqref="J15"/>
    </sheetView>
  </sheetViews>
  <sheetFormatPr defaultColWidth="8.69921875" defaultRowHeight="17.399999999999999" x14ac:dyDescent="0.4"/>
  <cols>
    <col min="1" max="8" width="8.69921875" style="14"/>
    <col min="9" max="9" width="12.59765625" style="14" customWidth="1"/>
    <col min="10" max="16384" width="8.69921875" style="14"/>
  </cols>
  <sheetData>
    <row r="1" spans="1:18" ht="25.2" x14ac:dyDescent="0.4">
      <c r="A1" s="2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8" ht="25.2" x14ac:dyDescent="0.4">
      <c r="A2" s="30" t="s">
        <v>146</v>
      </c>
      <c r="B2" s="30"/>
      <c r="C2" s="30"/>
      <c r="D2" s="30"/>
      <c r="E2" s="30"/>
      <c r="F2" s="30"/>
      <c r="G2" s="30"/>
      <c r="H2" s="30"/>
      <c r="I2" s="24"/>
      <c r="J2" s="24"/>
      <c r="K2" s="24"/>
      <c r="L2" s="24"/>
      <c r="M2" s="24"/>
      <c r="N2" s="24"/>
      <c r="O2" s="24"/>
      <c r="P2" s="24"/>
      <c r="Q2" s="24"/>
    </row>
    <row r="3" spans="1:18" ht="25.2" x14ac:dyDescent="0.4">
      <c r="A3" s="25" t="s">
        <v>127</v>
      </c>
      <c r="B3" s="26"/>
      <c r="C3" s="26"/>
      <c r="D3" s="26"/>
      <c r="E3" s="26"/>
      <c r="F3" s="26"/>
      <c r="G3" s="26"/>
      <c r="H3" s="26"/>
      <c r="I3" s="14" t="s">
        <v>109</v>
      </c>
      <c r="K3" s="25" t="s">
        <v>128</v>
      </c>
      <c r="L3" s="26"/>
      <c r="M3" s="26"/>
      <c r="N3" s="26"/>
      <c r="O3" s="26"/>
      <c r="P3" s="26"/>
      <c r="Q3" s="26"/>
      <c r="R3" s="26"/>
    </row>
    <row r="4" spans="1:18" x14ac:dyDescent="0.4">
      <c r="A4" s="1" t="s">
        <v>29</v>
      </c>
      <c r="B4" s="14" t="s">
        <v>8</v>
      </c>
      <c r="C4" s="14" t="s">
        <v>9</v>
      </c>
      <c r="D4" s="14" t="s">
        <v>10</v>
      </c>
      <c r="E4" s="14" t="s">
        <v>11</v>
      </c>
      <c r="F4" s="14" t="s">
        <v>31</v>
      </c>
      <c r="G4" s="14" t="s">
        <v>13</v>
      </c>
      <c r="H4" s="14" t="s">
        <v>33</v>
      </c>
      <c r="K4" s="14" t="s">
        <v>8</v>
      </c>
      <c r="L4" s="14" t="s">
        <v>9</v>
      </c>
      <c r="M4" s="14" t="s">
        <v>10</v>
      </c>
      <c r="N4" s="14" t="s">
        <v>11</v>
      </c>
      <c r="O4" s="14" t="s">
        <v>31</v>
      </c>
      <c r="P4" s="14" t="s">
        <v>13</v>
      </c>
      <c r="Q4" s="14" t="s">
        <v>33</v>
      </c>
    </row>
    <row r="5" spans="1:18" x14ac:dyDescent="0.4">
      <c r="A5" s="3">
        <v>55</v>
      </c>
      <c r="B5" s="16">
        <f t="shared" ref="B5:H7" si="0">B6*0.95</f>
        <v>21.434374999999999</v>
      </c>
      <c r="C5" s="16">
        <f t="shared" si="0"/>
        <v>25.721249999999998</v>
      </c>
      <c r="D5" s="16">
        <f t="shared" si="0"/>
        <v>30.008124999999996</v>
      </c>
      <c r="E5" s="16">
        <f t="shared" si="0"/>
        <v>34.295000000000002</v>
      </c>
      <c r="F5" s="16">
        <f t="shared" si="0"/>
        <v>38.581874999999997</v>
      </c>
      <c r="G5" s="16">
        <f t="shared" si="0"/>
        <v>42.868749999999999</v>
      </c>
      <c r="H5" s="16">
        <f t="shared" si="0"/>
        <v>47.155624999999993</v>
      </c>
      <c r="K5" s="14">
        <f t="shared" ref="K5:Q15" si="1">B5/$A5</f>
        <v>0.38971590909090909</v>
      </c>
      <c r="L5" s="14">
        <f t="shared" si="1"/>
        <v>0.46765909090909086</v>
      </c>
      <c r="M5" s="14">
        <f t="shared" si="1"/>
        <v>0.54560227272727269</v>
      </c>
      <c r="N5" s="14">
        <f t="shared" si="1"/>
        <v>0.62354545454545462</v>
      </c>
      <c r="O5" s="14">
        <f t="shared" si="1"/>
        <v>0.70148863636363634</v>
      </c>
      <c r="P5" s="14">
        <f t="shared" si="1"/>
        <v>0.77943181818181817</v>
      </c>
      <c r="Q5" s="14">
        <f t="shared" si="1"/>
        <v>0.85737499999999989</v>
      </c>
    </row>
    <row r="6" spans="1:18" x14ac:dyDescent="0.4">
      <c r="A6" s="3">
        <v>60</v>
      </c>
      <c r="B6" s="16">
        <f t="shared" si="0"/>
        <v>22.5625</v>
      </c>
      <c r="C6" s="16">
        <f t="shared" si="0"/>
        <v>27.074999999999999</v>
      </c>
      <c r="D6" s="16">
        <f t="shared" si="0"/>
        <v>31.587499999999999</v>
      </c>
      <c r="E6" s="16">
        <f t="shared" si="0"/>
        <v>36.1</v>
      </c>
      <c r="F6" s="16">
        <f t="shared" si="0"/>
        <v>40.612499999999997</v>
      </c>
      <c r="G6" s="16">
        <f t="shared" si="0"/>
        <v>45.125</v>
      </c>
      <c r="H6" s="16">
        <f t="shared" si="0"/>
        <v>49.637499999999996</v>
      </c>
      <c r="K6" s="14">
        <f t="shared" si="1"/>
        <v>0.37604166666666666</v>
      </c>
      <c r="L6" s="14">
        <f t="shared" si="1"/>
        <v>0.45124999999999998</v>
      </c>
      <c r="M6" s="14">
        <f t="shared" si="1"/>
        <v>0.52645833333333336</v>
      </c>
      <c r="N6" s="14">
        <f t="shared" si="1"/>
        <v>0.60166666666666668</v>
      </c>
      <c r="O6" s="14">
        <f t="shared" si="1"/>
        <v>0.676875</v>
      </c>
      <c r="P6" s="14">
        <f t="shared" si="1"/>
        <v>0.75208333333333333</v>
      </c>
      <c r="Q6" s="14">
        <f t="shared" si="1"/>
        <v>0.82729166666666665</v>
      </c>
    </row>
    <row r="7" spans="1:18" x14ac:dyDescent="0.4">
      <c r="A7" s="3">
        <v>65</v>
      </c>
      <c r="B7" s="16">
        <f>B8*0.95</f>
        <v>23.75</v>
      </c>
      <c r="C7" s="16">
        <f t="shared" si="0"/>
        <v>28.5</v>
      </c>
      <c r="D7" s="16">
        <f t="shared" si="0"/>
        <v>33.25</v>
      </c>
      <c r="E7" s="16">
        <f t="shared" si="0"/>
        <v>38</v>
      </c>
      <c r="F7" s="16">
        <f t="shared" si="0"/>
        <v>42.75</v>
      </c>
      <c r="G7" s="16">
        <f t="shared" si="0"/>
        <v>47.5</v>
      </c>
      <c r="H7" s="16">
        <f t="shared" si="0"/>
        <v>52.25</v>
      </c>
      <c r="K7" s="14">
        <f t="shared" si="1"/>
        <v>0.36538461538461536</v>
      </c>
      <c r="L7" s="14">
        <f t="shared" si="1"/>
        <v>0.43846153846153846</v>
      </c>
      <c r="M7" s="14">
        <f t="shared" si="1"/>
        <v>0.5115384615384615</v>
      </c>
      <c r="N7" s="14">
        <f t="shared" si="1"/>
        <v>0.58461538461538465</v>
      </c>
      <c r="O7" s="14">
        <f t="shared" si="1"/>
        <v>0.65769230769230769</v>
      </c>
      <c r="P7" s="14">
        <f t="shared" si="1"/>
        <v>0.73076923076923073</v>
      </c>
      <c r="Q7" s="14">
        <f t="shared" si="1"/>
        <v>0.80384615384615388</v>
      </c>
    </row>
    <row r="8" spans="1:18" x14ac:dyDescent="0.4">
      <c r="A8" s="3">
        <v>70</v>
      </c>
      <c r="B8" s="19">
        <v>25</v>
      </c>
      <c r="C8" s="19">
        <v>30</v>
      </c>
      <c r="D8" s="19">
        <v>35</v>
      </c>
      <c r="E8" s="19">
        <v>40</v>
      </c>
      <c r="F8" s="20">
        <v>45</v>
      </c>
      <c r="G8" s="19">
        <v>50</v>
      </c>
      <c r="H8" s="19">
        <v>55</v>
      </c>
      <c r="K8" s="14">
        <f t="shared" si="1"/>
        <v>0.35714285714285715</v>
      </c>
      <c r="L8" s="14">
        <f t="shared" si="1"/>
        <v>0.42857142857142855</v>
      </c>
      <c r="M8" s="14">
        <f t="shared" si="1"/>
        <v>0.5</v>
      </c>
      <c r="N8" s="14">
        <f t="shared" si="1"/>
        <v>0.5714285714285714</v>
      </c>
      <c r="O8" s="14">
        <f t="shared" si="1"/>
        <v>0.6428571428571429</v>
      </c>
      <c r="P8" s="14">
        <f t="shared" si="1"/>
        <v>0.7142857142857143</v>
      </c>
      <c r="Q8" s="14">
        <f t="shared" si="1"/>
        <v>0.7857142857142857</v>
      </c>
    </row>
    <row r="9" spans="1:18" x14ac:dyDescent="0.4">
      <c r="A9" s="3">
        <v>75</v>
      </c>
      <c r="B9" s="18">
        <f>B8*0.95</f>
        <v>23.75</v>
      </c>
      <c r="C9" s="18">
        <f t="shared" ref="C9:H15" si="2">C8*0.95</f>
        <v>28.5</v>
      </c>
      <c r="D9" s="18">
        <f t="shared" si="2"/>
        <v>33.25</v>
      </c>
      <c r="E9" s="18">
        <f t="shared" si="2"/>
        <v>38</v>
      </c>
      <c r="F9" s="18">
        <f t="shared" si="2"/>
        <v>42.75</v>
      </c>
      <c r="G9" s="18">
        <f t="shared" si="2"/>
        <v>47.5</v>
      </c>
      <c r="H9" s="18">
        <f t="shared" si="2"/>
        <v>52.25</v>
      </c>
      <c r="K9" s="14">
        <f t="shared" si="1"/>
        <v>0.31666666666666665</v>
      </c>
      <c r="L9" s="14">
        <f t="shared" si="1"/>
        <v>0.38</v>
      </c>
      <c r="M9" s="14">
        <f t="shared" si="1"/>
        <v>0.44333333333333336</v>
      </c>
      <c r="N9" s="14">
        <f t="shared" si="1"/>
        <v>0.50666666666666671</v>
      </c>
      <c r="O9" s="14">
        <f t="shared" si="1"/>
        <v>0.56999999999999995</v>
      </c>
      <c r="P9" s="14">
        <f t="shared" si="1"/>
        <v>0.6333333333333333</v>
      </c>
      <c r="Q9" s="14">
        <f t="shared" si="1"/>
        <v>0.69666666666666666</v>
      </c>
    </row>
    <row r="10" spans="1:18" x14ac:dyDescent="0.4">
      <c r="A10" s="3">
        <v>82</v>
      </c>
      <c r="B10" s="18">
        <f t="shared" ref="B10:B15" si="3">B9*0.95</f>
        <v>22.5625</v>
      </c>
      <c r="C10" s="18">
        <f t="shared" si="2"/>
        <v>27.074999999999999</v>
      </c>
      <c r="D10" s="18">
        <f t="shared" si="2"/>
        <v>31.587499999999999</v>
      </c>
      <c r="E10" s="18">
        <f t="shared" si="2"/>
        <v>36.1</v>
      </c>
      <c r="F10" s="18">
        <f t="shared" si="2"/>
        <v>40.612499999999997</v>
      </c>
      <c r="G10" s="18">
        <f t="shared" si="2"/>
        <v>45.125</v>
      </c>
      <c r="H10" s="18">
        <f t="shared" si="2"/>
        <v>49.637499999999996</v>
      </c>
      <c r="K10" s="14">
        <f t="shared" si="1"/>
        <v>0.27515243902439024</v>
      </c>
      <c r="L10" s="14">
        <f t="shared" si="1"/>
        <v>0.33018292682926831</v>
      </c>
      <c r="M10" s="14">
        <f t="shared" si="1"/>
        <v>0.38521341463414632</v>
      </c>
      <c r="N10" s="14">
        <f t="shared" si="1"/>
        <v>0.44024390243902439</v>
      </c>
      <c r="O10" s="14">
        <f t="shared" si="1"/>
        <v>0.49527439024390241</v>
      </c>
      <c r="P10" s="14">
        <f t="shared" si="1"/>
        <v>0.55030487804878048</v>
      </c>
      <c r="Q10" s="14">
        <f t="shared" si="1"/>
        <v>0.60533536585365844</v>
      </c>
    </row>
    <row r="11" spans="1:18" x14ac:dyDescent="0.4">
      <c r="A11" s="3">
        <v>90</v>
      </c>
      <c r="B11" s="18">
        <f t="shared" si="3"/>
        <v>21.434374999999999</v>
      </c>
      <c r="C11" s="18">
        <f t="shared" si="2"/>
        <v>25.721249999999998</v>
      </c>
      <c r="D11" s="18">
        <f t="shared" si="2"/>
        <v>30.008124999999996</v>
      </c>
      <c r="E11" s="18">
        <f t="shared" si="2"/>
        <v>34.295000000000002</v>
      </c>
      <c r="F11" s="18">
        <f t="shared" si="2"/>
        <v>38.581874999999997</v>
      </c>
      <c r="G11" s="18">
        <f t="shared" si="2"/>
        <v>42.868749999999999</v>
      </c>
      <c r="H11" s="18">
        <f t="shared" si="2"/>
        <v>47.155624999999993</v>
      </c>
      <c r="K11" s="14">
        <f t="shared" si="1"/>
        <v>0.2381597222222222</v>
      </c>
      <c r="L11" s="14">
        <f t="shared" si="1"/>
        <v>0.28579166666666667</v>
      </c>
      <c r="M11" s="14">
        <f t="shared" si="1"/>
        <v>0.33342361111111107</v>
      </c>
      <c r="N11" s="14">
        <f t="shared" si="1"/>
        <v>0.38105555555555559</v>
      </c>
      <c r="O11" s="14">
        <f t="shared" si="1"/>
        <v>0.42868749999999994</v>
      </c>
      <c r="P11" s="14">
        <f t="shared" si="1"/>
        <v>0.47631944444444441</v>
      </c>
      <c r="Q11" s="14">
        <f t="shared" si="1"/>
        <v>0.52395138888888881</v>
      </c>
    </row>
    <row r="12" spans="1:18" x14ac:dyDescent="0.4">
      <c r="A12" s="3">
        <v>100</v>
      </c>
      <c r="B12" s="18">
        <f t="shared" si="3"/>
        <v>20.362656249999997</v>
      </c>
      <c r="C12" s="18">
        <f t="shared" si="2"/>
        <v>24.435187499999998</v>
      </c>
      <c r="D12" s="18">
        <f t="shared" si="2"/>
        <v>28.507718749999995</v>
      </c>
      <c r="E12" s="18">
        <f t="shared" si="2"/>
        <v>32.580249999999999</v>
      </c>
      <c r="F12" s="18">
        <f t="shared" si="2"/>
        <v>36.652781249999997</v>
      </c>
      <c r="G12" s="18">
        <f t="shared" si="2"/>
        <v>40.725312499999994</v>
      </c>
      <c r="H12" s="18">
        <f t="shared" si="2"/>
        <v>44.797843749999991</v>
      </c>
      <c r="K12" s="14">
        <f t="shared" si="1"/>
        <v>0.20362656249999997</v>
      </c>
      <c r="L12" s="14">
        <f t="shared" si="1"/>
        <v>0.24435187499999997</v>
      </c>
      <c r="M12" s="14">
        <f t="shared" si="1"/>
        <v>0.28507718749999994</v>
      </c>
      <c r="N12" s="14">
        <f t="shared" si="1"/>
        <v>0.32580249999999999</v>
      </c>
      <c r="O12" s="14">
        <f t="shared" si="1"/>
        <v>0.36652781249999999</v>
      </c>
      <c r="P12" s="14">
        <f t="shared" si="1"/>
        <v>0.40725312499999994</v>
      </c>
      <c r="Q12" s="14">
        <f t="shared" si="1"/>
        <v>0.44797843749999994</v>
      </c>
    </row>
    <row r="13" spans="1:18" x14ac:dyDescent="0.4">
      <c r="A13" s="3">
        <v>110</v>
      </c>
      <c r="B13" s="18">
        <f t="shared" si="3"/>
        <v>19.344523437499998</v>
      </c>
      <c r="C13" s="18">
        <f t="shared" si="2"/>
        <v>23.213428124999997</v>
      </c>
      <c r="D13" s="18">
        <f t="shared" si="2"/>
        <v>27.082332812499995</v>
      </c>
      <c r="E13" s="18">
        <f t="shared" si="2"/>
        <v>30.951237499999998</v>
      </c>
      <c r="F13" s="18">
        <f t="shared" si="2"/>
        <v>34.820142187499997</v>
      </c>
      <c r="G13" s="18">
        <f t="shared" si="2"/>
        <v>38.689046874999995</v>
      </c>
      <c r="H13" s="18">
        <f t="shared" si="2"/>
        <v>42.557951562499987</v>
      </c>
      <c r="K13" s="14">
        <f t="shared" si="1"/>
        <v>0.1758593039772727</v>
      </c>
      <c r="L13" s="14">
        <f t="shared" si="1"/>
        <v>0.21103116477272724</v>
      </c>
      <c r="M13" s="14">
        <f t="shared" si="1"/>
        <v>0.24620302556818177</v>
      </c>
      <c r="N13" s="14">
        <f t="shared" si="1"/>
        <v>0.28137488636363633</v>
      </c>
      <c r="O13" s="14">
        <f t="shared" si="1"/>
        <v>0.31654674715909087</v>
      </c>
      <c r="P13" s="14">
        <f t="shared" si="1"/>
        <v>0.3517186079545454</v>
      </c>
      <c r="Q13" s="14">
        <f t="shared" si="1"/>
        <v>0.38689046874999988</v>
      </c>
    </row>
    <row r="14" spans="1:18" x14ac:dyDescent="0.4">
      <c r="A14" s="3">
        <v>120</v>
      </c>
      <c r="B14" s="18">
        <f t="shared" si="3"/>
        <v>18.377297265624996</v>
      </c>
      <c r="C14" s="18">
        <f t="shared" si="2"/>
        <v>22.052756718749997</v>
      </c>
      <c r="D14" s="18">
        <f t="shared" si="2"/>
        <v>25.728216171874994</v>
      </c>
      <c r="E14" s="18">
        <f t="shared" si="2"/>
        <v>29.403675624999998</v>
      </c>
      <c r="F14" s="18">
        <f t="shared" si="2"/>
        <v>33.079135078124992</v>
      </c>
      <c r="G14" s="18">
        <f t="shared" si="2"/>
        <v>36.754594531249992</v>
      </c>
      <c r="H14" s="18">
        <f t="shared" si="2"/>
        <v>40.430053984374986</v>
      </c>
      <c r="K14" s="14">
        <f t="shared" si="1"/>
        <v>0.15314414388020831</v>
      </c>
      <c r="L14" s="14">
        <f t="shared" si="1"/>
        <v>0.18377297265624998</v>
      </c>
      <c r="M14" s="14">
        <f t="shared" si="1"/>
        <v>0.21440180143229162</v>
      </c>
      <c r="N14" s="14">
        <f t="shared" si="1"/>
        <v>0.24503063020833332</v>
      </c>
      <c r="O14" s="14">
        <f t="shared" si="1"/>
        <v>0.27565945898437494</v>
      </c>
      <c r="P14" s="14">
        <f t="shared" si="1"/>
        <v>0.30628828776041661</v>
      </c>
      <c r="Q14" s="14">
        <f t="shared" si="1"/>
        <v>0.33691711653645823</v>
      </c>
    </row>
    <row r="15" spans="1:18" x14ac:dyDescent="0.4">
      <c r="A15" s="3">
        <v>130</v>
      </c>
      <c r="B15" s="18">
        <f t="shared" si="3"/>
        <v>17.458432402343746</v>
      </c>
      <c r="C15" s="18">
        <f t="shared" si="2"/>
        <v>20.950118882812497</v>
      </c>
      <c r="D15" s="18">
        <f t="shared" si="2"/>
        <v>24.441805363281244</v>
      </c>
      <c r="E15" s="18">
        <f t="shared" si="2"/>
        <v>27.933491843749998</v>
      </c>
      <c r="F15" s="18">
        <f t="shared" si="2"/>
        <v>31.425178324218741</v>
      </c>
      <c r="G15" s="18">
        <f t="shared" si="2"/>
        <v>34.916864804687492</v>
      </c>
      <c r="H15" s="18">
        <f t="shared" si="2"/>
        <v>38.408551285156236</v>
      </c>
      <c r="K15" s="14">
        <f t="shared" si="1"/>
        <v>0.13429563386418267</v>
      </c>
      <c r="L15" s="14">
        <f t="shared" si="1"/>
        <v>0.1611547606370192</v>
      </c>
      <c r="M15" s="14">
        <f t="shared" si="1"/>
        <v>0.18801388740985572</v>
      </c>
      <c r="N15" s="14">
        <f t="shared" si="1"/>
        <v>0.21487301418269228</v>
      </c>
      <c r="O15" s="14">
        <f t="shared" si="1"/>
        <v>0.24173214095552878</v>
      </c>
      <c r="P15" s="14">
        <f t="shared" si="1"/>
        <v>0.26859126772836533</v>
      </c>
      <c r="Q15" s="14">
        <f t="shared" si="1"/>
        <v>0.29545039450120181</v>
      </c>
    </row>
    <row r="17" spans="1:18" ht="27.6" x14ac:dyDescent="0.4">
      <c r="A17" s="25" t="s">
        <v>129</v>
      </c>
      <c r="B17" s="26"/>
      <c r="C17" s="26"/>
      <c r="D17" s="26"/>
      <c r="E17" s="26"/>
      <c r="F17" s="26"/>
      <c r="G17" s="26"/>
      <c r="H17" s="26"/>
      <c r="K17" s="27" t="s">
        <v>130</v>
      </c>
      <c r="L17" s="28"/>
      <c r="M17" s="28"/>
      <c r="N17" s="28"/>
      <c r="O17" s="28"/>
      <c r="P17" s="28"/>
      <c r="Q17" s="28"/>
      <c r="R17" s="28"/>
    </row>
    <row r="18" spans="1:18" x14ac:dyDescent="0.4">
      <c r="A18" s="1" t="s">
        <v>29</v>
      </c>
      <c r="B18" s="14" t="s">
        <v>8</v>
      </c>
      <c r="C18" s="14" t="s">
        <v>9</v>
      </c>
      <c r="D18" s="14" t="s">
        <v>10</v>
      </c>
      <c r="E18" s="14" t="s">
        <v>11</v>
      </c>
      <c r="F18" s="14" t="s">
        <v>31</v>
      </c>
      <c r="G18" s="14" t="s">
        <v>13</v>
      </c>
      <c r="H18" s="14" t="s">
        <v>33</v>
      </c>
      <c r="K18" s="14" t="s">
        <v>8</v>
      </c>
      <c r="L18" s="14" t="s">
        <v>9</v>
      </c>
      <c r="M18" s="14" t="s">
        <v>10</v>
      </c>
      <c r="N18" s="14" t="s">
        <v>11</v>
      </c>
      <c r="O18" s="14" t="s">
        <v>31</v>
      </c>
      <c r="P18" s="14" t="s">
        <v>13</v>
      </c>
      <c r="Q18" s="14" t="s">
        <v>33</v>
      </c>
    </row>
    <row r="19" spans="1:18" x14ac:dyDescent="0.4">
      <c r="A19" s="2">
        <v>44</v>
      </c>
      <c r="B19" s="16">
        <f>B5/2</f>
        <v>10.7171875</v>
      </c>
      <c r="C19" s="16">
        <f>C5/2</f>
        <v>12.860624999999999</v>
      </c>
      <c r="D19" s="16">
        <f>D5/2</f>
        <v>15.004062499999998</v>
      </c>
      <c r="E19" s="16">
        <f>E5/2</f>
        <v>17.147500000000001</v>
      </c>
      <c r="F19" s="16">
        <f>F5/2</f>
        <v>19.290937499999998</v>
      </c>
      <c r="G19" s="16">
        <f>G5/2</f>
        <v>21.434374999999999</v>
      </c>
      <c r="H19" s="16">
        <f>H5/2</f>
        <v>23.577812499999997</v>
      </c>
      <c r="K19" s="14">
        <f>B19/$A19</f>
        <v>0.24357244318181817</v>
      </c>
      <c r="L19" s="14">
        <f>D19/$A19</f>
        <v>0.3410014204545454</v>
      </c>
      <c r="M19" s="14">
        <f>F19/$A19</f>
        <v>0.43843039772727271</v>
      </c>
      <c r="N19" s="14">
        <f>E19/$A19</f>
        <v>0.38971590909090909</v>
      </c>
      <c r="O19" s="14">
        <f>G19/$A19</f>
        <v>0.48714488636363634</v>
      </c>
      <c r="P19" s="14">
        <f>G19/$A19</f>
        <v>0.48714488636363634</v>
      </c>
      <c r="Q19" s="14">
        <f>H19/$A19</f>
        <v>0.53585937499999992</v>
      </c>
    </row>
    <row r="20" spans="1:18" x14ac:dyDescent="0.4">
      <c r="A20" s="2">
        <v>48</v>
      </c>
      <c r="B20" s="16">
        <f>B6/2</f>
        <v>11.28125</v>
      </c>
      <c r="C20" s="16">
        <f>C6/2</f>
        <v>13.5375</v>
      </c>
      <c r="D20" s="16">
        <f>D6/2</f>
        <v>15.793749999999999</v>
      </c>
      <c r="E20" s="16">
        <f>E6/2</f>
        <v>18.05</v>
      </c>
      <c r="F20" s="16">
        <f>F6/2</f>
        <v>20.306249999999999</v>
      </c>
      <c r="G20" s="16">
        <f>G6/2</f>
        <v>22.5625</v>
      </c>
      <c r="H20" s="16">
        <f>H6/2</f>
        <v>24.818749999999998</v>
      </c>
      <c r="K20" s="14">
        <f t="shared" ref="K20:K27" si="4">B20/$A20</f>
        <v>0.23502604166666666</v>
      </c>
      <c r="L20" s="14">
        <f t="shared" ref="L20:L27" si="5">D20/$A20</f>
        <v>0.32903645833333334</v>
      </c>
      <c r="M20" s="14">
        <f t="shared" ref="M20:M27" si="6">F20/$A20</f>
        <v>0.42304687499999999</v>
      </c>
      <c r="N20" s="14">
        <f t="shared" ref="N20:N27" si="7">E20/$A20</f>
        <v>0.37604166666666666</v>
      </c>
      <c r="O20" s="14">
        <f t="shared" ref="O20:O27" si="8">G20/$A20</f>
        <v>0.47005208333333331</v>
      </c>
      <c r="P20" s="14">
        <f t="shared" ref="P20:Q27" si="9">G20/$A20</f>
        <v>0.47005208333333331</v>
      </c>
      <c r="Q20" s="14">
        <f t="shared" si="9"/>
        <v>0.51705729166666659</v>
      </c>
    </row>
    <row r="21" spans="1:18" x14ac:dyDescent="0.4">
      <c r="A21" s="2">
        <v>52</v>
      </c>
      <c r="B21" s="16">
        <f>B7/2</f>
        <v>11.875</v>
      </c>
      <c r="C21" s="16">
        <f>C7/2</f>
        <v>14.25</v>
      </c>
      <c r="D21" s="16">
        <f>D7/2</f>
        <v>16.625</v>
      </c>
      <c r="E21" s="16">
        <f>E7/2</f>
        <v>19</v>
      </c>
      <c r="F21" s="16">
        <f>F7/2</f>
        <v>21.375</v>
      </c>
      <c r="G21" s="16">
        <f>G7/2</f>
        <v>23.75</v>
      </c>
      <c r="H21" s="16">
        <f>H7/2</f>
        <v>26.125</v>
      </c>
      <c r="K21" s="14">
        <f t="shared" si="4"/>
        <v>0.22836538461538461</v>
      </c>
      <c r="L21" s="14">
        <f t="shared" si="5"/>
        <v>0.31971153846153844</v>
      </c>
      <c r="M21" s="14">
        <f t="shared" si="6"/>
        <v>0.41105769230769229</v>
      </c>
      <c r="N21" s="14">
        <f t="shared" si="7"/>
        <v>0.36538461538461536</v>
      </c>
      <c r="O21" s="14">
        <f t="shared" si="8"/>
        <v>0.45673076923076922</v>
      </c>
      <c r="P21" s="14">
        <f t="shared" si="9"/>
        <v>0.45673076923076922</v>
      </c>
      <c r="Q21" s="14">
        <f t="shared" si="9"/>
        <v>0.50240384615384615</v>
      </c>
    </row>
    <row r="22" spans="1:18" x14ac:dyDescent="0.4">
      <c r="A22" s="2">
        <v>56</v>
      </c>
      <c r="B22" s="16">
        <f>B8/2</f>
        <v>12.5</v>
      </c>
      <c r="C22" s="16">
        <f>C8/2</f>
        <v>15</v>
      </c>
      <c r="D22" s="16">
        <f>D8/2</f>
        <v>17.5</v>
      </c>
      <c r="E22" s="16">
        <f>E8/2</f>
        <v>20</v>
      </c>
      <c r="F22" s="16">
        <f>F8/2</f>
        <v>22.5</v>
      </c>
      <c r="G22" s="16">
        <f>G8/2</f>
        <v>25</v>
      </c>
      <c r="H22" s="16">
        <f>H8/2</f>
        <v>27.5</v>
      </c>
      <c r="K22" s="14">
        <f t="shared" si="4"/>
        <v>0.22321428571428573</v>
      </c>
      <c r="L22" s="14">
        <f t="shared" si="5"/>
        <v>0.3125</v>
      </c>
      <c r="M22" s="14">
        <f t="shared" si="6"/>
        <v>0.4017857142857143</v>
      </c>
      <c r="N22" s="14">
        <f t="shared" si="7"/>
        <v>0.35714285714285715</v>
      </c>
      <c r="O22" s="14">
        <f t="shared" si="8"/>
        <v>0.44642857142857145</v>
      </c>
      <c r="P22" s="14">
        <f t="shared" si="9"/>
        <v>0.44642857142857145</v>
      </c>
      <c r="Q22" s="14">
        <f t="shared" si="9"/>
        <v>0.49107142857142855</v>
      </c>
    </row>
    <row r="23" spans="1:18" x14ac:dyDescent="0.4">
      <c r="A23" s="2">
        <v>60</v>
      </c>
      <c r="B23" s="16">
        <f>B22*0.95</f>
        <v>11.875</v>
      </c>
      <c r="C23" s="16">
        <f t="shared" ref="C23:H27" si="10">C22*0.95</f>
        <v>14.25</v>
      </c>
      <c r="D23" s="16">
        <f t="shared" si="10"/>
        <v>16.625</v>
      </c>
      <c r="E23" s="16">
        <f t="shared" si="10"/>
        <v>19</v>
      </c>
      <c r="F23" s="16">
        <f t="shared" si="10"/>
        <v>21.375</v>
      </c>
      <c r="G23" s="16">
        <f t="shared" si="10"/>
        <v>23.75</v>
      </c>
      <c r="H23" s="16">
        <f t="shared" si="10"/>
        <v>26.125</v>
      </c>
      <c r="K23" s="14">
        <f t="shared" si="4"/>
        <v>0.19791666666666666</v>
      </c>
      <c r="L23" s="14">
        <f t="shared" si="5"/>
        <v>0.27708333333333335</v>
      </c>
      <c r="M23" s="14">
        <f t="shared" si="6"/>
        <v>0.35625000000000001</v>
      </c>
      <c r="N23" s="14">
        <f t="shared" si="7"/>
        <v>0.31666666666666665</v>
      </c>
      <c r="O23" s="14">
        <f t="shared" si="8"/>
        <v>0.39583333333333331</v>
      </c>
      <c r="P23" s="14">
        <f t="shared" si="9"/>
        <v>0.39583333333333331</v>
      </c>
      <c r="Q23" s="14">
        <f t="shared" si="9"/>
        <v>0.43541666666666667</v>
      </c>
    </row>
    <row r="24" spans="1:18" x14ac:dyDescent="0.4">
      <c r="A24" s="2">
        <v>67</v>
      </c>
      <c r="B24" s="16">
        <f t="shared" ref="B24:B27" si="11">B23*0.95</f>
        <v>11.28125</v>
      </c>
      <c r="C24" s="16">
        <f t="shared" si="10"/>
        <v>13.5375</v>
      </c>
      <c r="D24" s="16">
        <f t="shared" si="10"/>
        <v>15.793749999999999</v>
      </c>
      <c r="E24" s="16">
        <f t="shared" si="10"/>
        <v>18.05</v>
      </c>
      <c r="F24" s="16">
        <f t="shared" si="10"/>
        <v>20.306249999999999</v>
      </c>
      <c r="G24" s="16">
        <f t="shared" si="10"/>
        <v>22.5625</v>
      </c>
      <c r="H24" s="16">
        <f t="shared" si="10"/>
        <v>24.818749999999998</v>
      </c>
      <c r="K24" s="14">
        <f t="shared" si="4"/>
        <v>0.16837686567164178</v>
      </c>
      <c r="L24" s="14">
        <f t="shared" si="5"/>
        <v>0.23572761194029851</v>
      </c>
      <c r="M24" s="14">
        <f t="shared" si="6"/>
        <v>0.30307835820895518</v>
      </c>
      <c r="N24" s="14">
        <f t="shared" si="7"/>
        <v>0.2694029850746269</v>
      </c>
      <c r="O24" s="14">
        <f t="shared" si="8"/>
        <v>0.33675373134328357</v>
      </c>
      <c r="P24" s="14">
        <f t="shared" si="9"/>
        <v>0.33675373134328357</v>
      </c>
      <c r="Q24" s="14">
        <f t="shared" si="9"/>
        <v>0.3704291044776119</v>
      </c>
    </row>
    <row r="25" spans="1:18" x14ac:dyDescent="0.4">
      <c r="A25" s="2">
        <v>75</v>
      </c>
      <c r="B25" s="16">
        <f t="shared" si="11"/>
        <v>10.7171875</v>
      </c>
      <c r="C25" s="16">
        <f t="shared" si="10"/>
        <v>12.860624999999999</v>
      </c>
      <c r="D25" s="16">
        <f t="shared" si="10"/>
        <v>15.004062499999998</v>
      </c>
      <c r="E25" s="16">
        <f t="shared" si="10"/>
        <v>17.147500000000001</v>
      </c>
      <c r="F25" s="16">
        <f t="shared" si="10"/>
        <v>19.290937499999998</v>
      </c>
      <c r="G25" s="16">
        <f t="shared" si="10"/>
        <v>21.434374999999999</v>
      </c>
      <c r="H25" s="16">
        <f t="shared" si="10"/>
        <v>23.577812499999997</v>
      </c>
      <c r="K25" s="14">
        <f t="shared" si="4"/>
        <v>0.14289583333333333</v>
      </c>
      <c r="L25" s="14">
        <f t="shared" si="5"/>
        <v>0.20005416666666664</v>
      </c>
      <c r="M25" s="14">
        <f t="shared" si="6"/>
        <v>0.25721249999999996</v>
      </c>
      <c r="N25" s="14">
        <f t="shared" si="7"/>
        <v>0.22863333333333336</v>
      </c>
      <c r="O25" s="14">
        <f t="shared" si="8"/>
        <v>0.28579166666666667</v>
      </c>
      <c r="P25" s="14">
        <f t="shared" si="9"/>
        <v>0.28579166666666667</v>
      </c>
      <c r="Q25" s="14">
        <f t="shared" si="9"/>
        <v>0.31437083333333327</v>
      </c>
    </row>
    <row r="26" spans="1:18" x14ac:dyDescent="0.4">
      <c r="A26" s="2">
        <v>82</v>
      </c>
      <c r="B26" s="16">
        <f t="shared" si="11"/>
        <v>10.181328124999999</v>
      </c>
      <c r="C26" s="16">
        <f t="shared" si="10"/>
        <v>12.217593749999999</v>
      </c>
      <c r="D26" s="16">
        <f t="shared" si="10"/>
        <v>14.253859374999998</v>
      </c>
      <c r="E26" s="16">
        <f t="shared" si="10"/>
        <v>16.290125</v>
      </c>
      <c r="F26" s="16">
        <f t="shared" si="10"/>
        <v>18.326390624999998</v>
      </c>
      <c r="G26" s="16">
        <f t="shared" si="10"/>
        <v>20.362656249999997</v>
      </c>
      <c r="H26" s="16">
        <f t="shared" si="10"/>
        <v>22.398921874999996</v>
      </c>
      <c r="K26" s="14">
        <f t="shared" si="4"/>
        <v>0.12416253810975608</v>
      </c>
      <c r="L26" s="14">
        <f t="shared" si="5"/>
        <v>0.17382755335365851</v>
      </c>
      <c r="M26" s="14">
        <f t="shared" si="6"/>
        <v>0.22349256859756095</v>
      </c>
      <c r="N26" s="14">
        <f t="shared" si="7"/>
        <v>0.19866006097560976</v>
      </c>
      <c r="O26" s="14">
        <f t="shared" si="8"/>
        <v>0.24832507621951216</v>
      </c>
      <c r="P26" s="14">
        <f t="shared" si="9"/>
        <v>0.24832507621951216</v>
      </c>
      <c r="Q26" s="14">
        <f t="shared" si="9"/>
        <v>0.27315758384146338</v>
      </c>
    </row>
    <row r="27" spans="1:18" x14ac:dyDescent="0.4">
      <c r="A27" s="2">
        <v>90</v>
      </c>
      <c r="B27" s="16">
        <f t="shared" si="11"/>
        <v>9.6722617187499988</v>
      </c>
      <c r="C27" s="16">
        <f t="shared" si="10"/>
        <v>11.606714062499998</v>
      </c>
      <c r="D27" s="16">
        <f t="shared" si="10"/>
        <v>13.541166406249998</v>
      </c>
      <c r="E27" s="16">
        <f t="shared" si="10"/>
        <v>15.475618749999999</v>
      </c>
      <c r="F27" s="16">
        <f t="shared" si="10"/>
        <v>17.410071093749998</v>
      </c>
      <c r="G27" s="16">
        <f t="shared" si="10"/>
        <v>19.344523437499998</v>
      </c>
      <c r="H27" s="16">
        <f t="shared" si="10"/>
        <v>21.278975781249994</v>
      </c>
      <c r="K27" s="14">
        <f t="shared" si="4"/>
        <v>0.10746957465277776</v>
      </c>
      <c r="L27" s="14">
        <f t="shared" si="5"/>
        <v>0.15045740451388886</v>
      </c>
      <c r="M27" s="14">
        <f t="shared" si="6"/>
        <v>0.19344523437499997</v>
      </c>
      <c r="N27" s="14">
        <f t="shared" si="7"/>
        <v>0.17195131944444444</v>
      </c>
      <c r="O27" s="14">
        <f t="shared" si="8"/>
        <v>0.21493914930555552</v>
      </c>
      <c r="P27" s="14">
        <f t="shared" si="9"/>
        <v>0.21493914930555552</v>
      </c>
      <c r="Q27" s="14">
        <f t="shared" si="9"/>
        <v>0.23643306423611105</v>
      </c>
    </row>
    <row r="28" spans="1:18" x14ac:dyDescent="0.4">
      <c r="A28" s="4"/>
      <c r="B28" s="16"/>
      <c r="C28" s="16"/>
      <c r="D28" s="16"/>
      <c r="E28" s="16"/>
      <c r="F28" s="16"/>
      <c r="G28" s="16"/>
      <c r="H28" s="16"/>
      <c r="I28" s="5"/>
    </row>
    <row r="29" spans="1:18" x14ac:dyDescent="0.4">
      <c r="A29" s="4"/>
      <c r="B29" s="16"/>
      <c r="C29" s="16"/>
      <c r="D29" s="16"/>
      <c r="E29" s="16"/>
      <c r="F29" s="16"/>
      <c r="G29" s="16"/>
      <c r="H29" s="16"/>
      <c r="I29" s="5"/>
    </row>
  </sheetData>
  <mergeCells count="6">
    <mergeCell ref="A1:Q1"/>
    <mergeCell ref="A3:H3"/>
    <mergeCell ref="K3:R3"/>
    <mergeCell ref="A17:H17"/>
    <mergeCell ref="K17:R17"/>
    <mergeCell ref="A2:H2"/>
  </mergeCells>
  <phoneticPr fontId="2" type="noConversion"/>
  <pageMargins left="0.7" right="0.7" top="0.75" bottom="0.75" header="0.3" footer="0.3"/>
  <pageSetup paperSize="9" orientation="portrait" verticalDpi="0" r:id="rId1"/>
  <tableParts count="4">
    <tablePart r:id="rId2"/>
    <tablePart r:id="rId3"/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opLeftCell="A2" zoomScale="94" zoomScaleNormal="94" workbookViewId="0">
      <selection activeCell="J18" sqref="J18"/>
    </sheetView>
  </sheetViews>
  <sheetFormatPr defaultRowHeight="17.399999999999999" x14ac:dyDescent="0.4"/>
  <sheetData>
    <row r="1" spans="1:18" ht="25.2" x14ac:dyDescent="0.4">
      <c r="A1" s="2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14"/>
    </row>
    <row r="2" spans="1:18" s="14" customFormat="1" ht="25.2" x14ac:dyDescent="0.4">
      <c r="A2" s="30" t="s">
        <v>147</v>
      </c>
      <c r="B2" s="30"/>
      <c r="C2" s="30"/>
      <c r="D2" s="30"/>
      <c r="E2" s="30"/>
      <c r="F2" s="30"/>
      <c r="G2" s="30"/>
      <c r="H2" s="30"/>
      <c r="I2" s="24"/>
      <c r="J2" s="24"/>
      <c r="K2" s="24"/>
      <c r="L2" s="24"/>
      <c r="M2" s="24"/>
      <c r="N2" s="24"/>
      <c r="O2" s="24"/>
      <c r="P2" s="24"/>
      <c r="Q2" s="24"/>
    </row>
    <row r="3" spans="1:18" ht="25.2" x14ac:dyDescent="0.4">
      <c r="A3" s="25" t="s">
        <v>110</v>
      </c>
      <c r="B3" s="26"/>
      <c r="C3" s="26"/>
      <c r="D3" s="26"/>
      <c r="E3" s="26"/>
      <c r="F3" s="26"/>
      <c r="G3" s="26"/>
      <c r="H3" s="26"/>
      <c r="I3" s="14"/>
      <c r="J3" s="14"/>
      <c r="K3" s="25" t="s">
        <v>111</v>
      </c>
      <c r="L3" s="26"/>
      <c r="M3" s="26"/>
      <c r="N3" s="26"/>
      <c r="O3" s="26"/>
      <c r="P3" s="26"/>
      <c r="Q3" s="26"/>
      <c r="R3" s="26"/>
    </row>
    <row r="4" spans="1:18" x14ac:dyDescent="0.4">
      <c r="A4" s="1" t="s">
        <v>29</v>
      </c>
      <c r="B4" s="14" t="s">
        <v>8</v>
      </c>
      <c r="C4" s="14" t="s">
        <v>9</v>
      </c>
      <c r="D4" s="14" t="s">
        <v>10</v>
      </c>
      <c r="E4" s="14" t="s">
        <v>11</v>
      </c>
      <c r="F4" s="14" t="s">
        <v>31</v>
      </c>
      <c r="G4" s="14" t="s">
        <v>13</v>
      </c>
      <c r="H4" s="14" t="s">
        <v>33</v>
      </c>
      <c r="I4" s="14"/>
      <c r="J4" s="14"/>
      <c r="K4" s="14" t="s">
        <v>8</v>
      </c>
      <c r="L4" s="14" t="s">
        <v>9</v>
      </c>
      <c r="M4" s="14" t="s">
        <v>10</v>
      </c>
      <c r="N4" s="14" t="s">
        <v>11</v>
      </c>
      <c r="O4" s="14" t="s">
        <v>31</v>
      </c>
      <c r="P4" s="14" t="s">
        <v>13</v>
      </c>
      <c r="Q4" s="14" t="s">
        <v>33</v>
      </c>
      <c r="R4" s="14"/>
    </row>
    <row r="5" spans="1:18" x14ac:dyDescent="0.4">
      <c r="A5" s="3">
        <v>55</v>
      </c>
      <c r="B5" s="16">
        <f t="shared" ref="B5:H7" si="0">B6*0.95</f>
        <v>25.721249999999998</v>
      </c>
      <c r="C5" s="16">
        <f t="shared" si="0"/>
        <v>36.867124999999994</v>
      </c>
      <c r="D5" s="16">
        <f t="shared" si="0"/>
        <v>48.012999999999991</v>
      </c>
      <c r="E5" s="16">
        <f t="shared" si="0"/>
        <v>59.158874999999995</v>
      </c>
      <c r="F5" s="16">
        <f t="shared" si="0"/>
        <v>70.304749999999999</v>
      </c>
      <c r="G5" s="16">
        <f t="shared" si="0"/>
        <v>81.450624999999988</v>
      </c>
      <c r="H5" s="16">
        <f t="shared" si="0"/>
        <v>92.596499999999978</v>
      </c>
      <c r="I5" s="14"/>
      <c r="J5" s="14"/>
      <c r="K5" s="14">
        <f t="shared" ref="K5:Q15" si="1">B5/$A5</f>
        <v>0.46765909090909086</v>
      </c>
      <c r="L5" s="14">
        <f t="shared" si="1"/>
        <v>0.67031136363636357</v>
      </c>
      <c r="M5" s="14">
        <f t="shared" si="1"/>
        <v>0.87296363636363616</v>
      </c>
      <c r="N5" s="14">
        <f t="shared" si="1"/>
        <v>1.075615909090909</v>
      </c>
      <c r="O5" s="14">
        <f t="shared" si="1"/>
        <v>1.2782681818181818</v>
      </c>
      <c r="P5" s="14">
        <f t="shared" si="1"/>
        <v>1.4809204545454544</v>
      </c>
      <c r="Q5" s="14">
        <f t="shared" si="1"/>
        <v>1.6835727272727268</v>
      </c>
      <c r="R5" s="14"/>
    </row>
    <row r="6" spans="1:18" x14ac:dyDescent="0.4">
      <c r="A6" s="3">
        <v>60</v>
      </c>
      <c r="B6" s="16">
        <f t="shared" si="0"/>
        <v>27.074999999999999</v>
      </c>
      <c r="C6" s="16">
        <f t="shared" si="0"/>
        <v>38.807499999999997</v>
      </c>
      <c r="D6" s="16">
        <f t="shared" si="0"/>
        <v>50.539999999999992</v>
      </c>
      <c r="E6" s="16">
        <f t="shared" si="0"/>
        <v>62.272499999999994</v>
      </c>
      <c r="F6" s="16">
        <f t="shared" si="0"/>
        <v>74.004999999999995</v>
      </c>
      <c r="G6" s="16">
        <f t="shared" si="0"/>
        <v>85.737499999999997</v>
      </c>
      <c r="H6" s="16">
        <f t="shared" si="0"/>
        <v>97.469999999999985</v>
      </c>
      <c r="I6" s="14"/>
      <c r="J6" s="14"/>
      <c r="K6" s="14">
        <f t="shared" si="1"/>
        <v>0.45124999999999998</v>
      </c>
      <c r="L6" s="14">
        <f t="shared" si="1"/>
        <v>0.64679166666666665</v>
      </c>
      <c r="M6" s="14">
        <f t="shared" si="1"/>
        <v>0.84233333333333316</v>
      </c>
      <c r="N6" s="14">
        <f t="shared" si="1"/>
        <v>1.0378749999999999</v>
      </c>
      <c r="O6" s="14">
        <f t="shared" si="1"/>
        <v>1.2334166666666666</v>
      </c>
      <c r="P6" s="14">
        <f t="shared" si="1"/>
        <v>1.4289583333333333</v>
      </c>
      <c r="Q6" s="14">
        <f t="shared" si="1"/>
        <v>1.6244999999999998</v>
      </c>
      <c r="R6" s="14"/>
    </row>
    <row r="7" spans="1:18" x14ac:dyDescent="0.4">
      <c r="A7" s="3">
        <v>65</v>
      </c>
      <c r="B7" s="16">
        <f>B8*0.95</f>
        <v>28.5</v>
      </c>
      <c r="C7" s="16">
        <f t="shared" si="0"/>
        <v>40.85</v>
      </c>
      <c r="D7" s="16">
        <f t="shared" si="0"/>
        <v>53.199999999999996</v>
      </c>
      <c r="E7" s="16">
        <f t="shared" si="0"/>
        <v>65.55</v>
      </c>
      <c r="F7" s="16">
        <f t="shared" si="0"/>
        <v>77.899999999999991</v>
      </c>
      <c r="G7" s="16">
        <f t="shared" si="0"/>
        <v>90.25</v>
      </c>
      <c r="H7" s="16">
        <f t="shared" si="0"/>
        <v>102.6</v>
      </c>
      <c r="I7" s="14"/>
      <c r="J7" s="14"/>
      <c r="K7" s="14">
        <f t="shared" si="1"/>
        <v>0.43846153846153846</v>
      </c>
      <c r="L7" s="14">
        <f t="shared" si="1"/>
        <v>0.62846153846153852</v>
      </c>
      <c r="M7" s="14">
        <f t="shared" si="1"/>
        <v>0.81846153846153835</v>
      </c>
      <c r="N7" s="14">
        <f t="shared" si="1"/>
        <v>1.0084615384615385</v>
      </c>
      <c r="O7" s="14">
        <f t="shared" si="1"/>
        <v>1.1984615384615382</v>
      </c>
      <c r="P7" s="14">
        <f t="shared" si="1"/>
        <v>1.3884615384615384</v>
      </c>
      <c r="Q7" s="14">
        <f t="shared" si="1"/>
        <v>1.5784615384615384</v>
      </c>
      <c r="R7" s="14"/>
    </row>
    <row r="8" spans="1:18" x14ac:dyDescent="0.4">
      <c r="A8" s="3">
        <v>70</v>
      </c>
      <c r="B8" s="19">
        <v>30</v>
      </c>
      <c r="C8" s="19">
        <v>43</v>
      </c>
      <c r="D8" s="19">
        <v>56</v>
      </c>
      <c r="E8" s="19">
        <v>69</v>
      </c>
      <c r="F8" s="20">
        <v>82</v>
      </c>
      <c r="G8" s="19">
        <v>95</v>
      </c>
      <c r="H8" s="19">
        <v>108</v>
      </c>
      <c r="I8" s="14"/>
      <c r="J8" s="14"/>
      <c r="K8" s="14">
        <f t="shared" si="1"/>
        <v>0.42857142857142855</v>
      </c>
      <c r="L8" s="14">
        <f t="shared" si="1"/>
        <v>0.61428571428571432</v>
      </c>
      <c r="M8" s="14">
        <f t="shared" si="1"/>
        <v>0.8</v>
      </c>
      <c r="N8" s="14">
        <f t="shared" si="1"/>
        <v>0.98571428571428577</v>
      </c>
      <c r="O8" s="14">
        <f t="shared" si="1"/>
        <v>1.1714285714285715</v>
      </c>
      <c r="P8" s="14">
        <f t="shared" si="1"/>
        <v>1.3571428571428572</v>
      </c>
      <c r="Q8" s="14">
        <f t="shared" si="1"/>
        <v>1.5428571428571429</v>
      </c>
      <c r="R8" s="14"/>
    </row>
    <row r="9" spans="1:18" x14ac:dyDescent="0.4">
      <c r="A9" s="3">
        <v>75</v>
      </c>
      <c r="B9" s="18">
        <f>B8*0.95</f>
        <v>28.5</v>
      </c>
      <c r="C9" s="18">
        <f t="shared" ref="C9:H15" si="2">C8*0.95</f>
        <v>40.85</v>
      </c>
      <c r="D9" s="18">
        <f t="shared" si="2"/>
        <v>53.199999999999996</v>
      </c>
      <c r="E9" s="18">
        <f t="shared" si="2"/>
        <v>65.55</v>
      </c>
      <c r="F9" s="18">
        <f t="shared" si="2"/>
        <v>77.899999999999991</v>
      </c>
      <c r="G9" s="18">
        <f t="shared" si="2"/>
        <v>90.25</v>
      </c>
      <c r="H9" s="18">
        <f t="shared" si="2"/>
        <v>102.6</v>
      </c>
      <c r="I9" s="14"/>
      <c r="J9" s="14"/>
      <c r="K9" s="14">
        <f t="shared" si="1"/>
        <v>0.38</v>
      </c>
      <c r="L9" s="14">
        <f t="shared" si="1"/>
        <v>0.54466666666666663</v>
      </c>
      <c r="M9" s="14">
        <f t="shared" si="1"/>
        <v>0.70933333333333326</v>
      </c>
      <c r="N9" s="14">
        <f t="shared" si="1"/>
        <v>0.874</v>
      </c>
      <c r="O9" s="14">
        <f t="shared" si="1"/>
        <v>1.0386666666666666</v>
      </c>
      <c r="P9" s="14">
        <f t="shared" si="1"/>
        <v>1.2033333333333334</v>
      </c>
      <c r="Q9" s="14">
        <f t="shared" si="1"/>
        <v>1.3679999999999999</v>
      </c>
      <c r="R9" s="14"/>
    </row>
    <row r="10" spans="1:18" x14ac:dyDescent="0.4">
      <c r="A10" s="3">
        <v>82</v>
      </c>
      <c r="B10" s="18">
        <f t="shared" ref="B10:B15" si="3">B9*0.95</f>
        <v>27.074999999999999</v>
      </c>
      <c r="C10" s="18">
        <f t="shared" si="2"/>
        <v>38.807499999999997</v>
      </c>
      <c r="D10" s="18">
        <f t="shared" si="2"/>
        <v>50.539999999999992</v>
      </c>
      <c r="E10" s="18">
        <f t="shared" si="2"/>
        <v>62.272499999999994</v>
      </c>
      <c r="F10" s="18">
        <f t="shared" si="2"/>
        <v>74.004999999999995</v>
      </c>
      <c r="G10" s="18">
        <f t="shared" si="2"/>
        <v>85.737499999999997</v>
      </c>
      <c r="H10" s="18">
        <f t="shared" si="2"/>
        <v>97.469999999999985</v>
      </c>
      <c r="I10" s="14"/>
      <c r="J10" s="14"/>
      <c r="K10" s="14">
        <f t="shared" si="1"/>
        <v>0.33018292682926831</v>
      </c>
      <c r="L10" s="14">
        <f t="shared" si="1"/>
        <v>0.47326219512195117</v>
      </c>
      <c r="M10" s="14">
        <f t="shared" si="1"/>
        <v>0.61634146341463403</v>
      </c>
      <c r="N10" s="14">
        <f t="shared" si="1"/>
        <v>0.75942073170731694</v>
      </c>
      <c r="O10" s="14">
        <f t="shared" si="1"/>
        <v>0.90249999999999997</v>
      </c>
      <c r="P10" s="14">
        <f t="shared" si="1"/>
        <v>1.045579268292683</v>
      </c>
      <c r="Q10" s="14">
        <f t="shared" si="1"/>
        <v>1.1886585365853657</v>
      </c>
      <c r="R10" s="14"/>
    </row>
    <row r="11" spans="1:18" x14ac:dyDescent="0.4">
      <c r="A11" s="3">
        <v>90</v>
      </c>
      <c r="B11" s="18">
        <f t="shared" si="3"/>
        <v>25.721249999999998</v>
      </c>
      <c r="C11" s="18">
        <f t="shared" si="2"/>
        <v>36.867124999999994</v>
      </c>
      <c r="D11" s="18">
        <f t="shared" si="2"/>
        <v>48.012999999999991</v>
      </c>
      <c r="E11" s="18">
        <f t="shared" si="2"/>
        <v>59.158874999999995</v>
      </c>
      <c r="F11" s="18">
        <f t="shared" si="2"/>
        <v>70.304749999999999</v>
      </c>
      <c r="G11" s="18">
        <f t="shared" si="2"/>
        <v>81.450624999999988</v>
      </c>
      <c r="H11" s="18">
        <f t="shared" si="2"/>
        <v>92.596499999999978</v>
      </c>
      <c r="I11" s="14"/>
      <c r="J11" s="14"/>
      <c r="K11" s="14">
        <f t="shared" si="1"/>
        <v>0.28579166666666667</v>
      </c>
      <c r="L11" s="14">
        <f t="shared" si="1"/>
        <v>0.40963472222222214</v>
      </c>
      <c r="M11" s="14">
        <f t="shared" si="1"/>
        <v>0.53347777777777772</v>
      </c>
      <c r="N11" s="14">
        <f t="shared" si="1"/>
        <v>0.65732083333333324</v>
      </c>
      <c r="O11" s="14">
        <f t="shared" si="1"/>
        <v>0.78116388888888888</v>
      </c>
      <c r="P11" s="14">
        <f t="shared" si="1"/>
        <v>0.90500694444444429</v>
      </c>
      <c r="Q11" s="14">
        <f t="shared" si="1"/>
        <v>1.0288499999999998</v>
      </c>
      <c r="R11" s="14"/>
    </row>
    <row r="12" spans="1:18" x14ac:dyDescent="0.4">
      <c r="A12" s="3">
        <v>100</v>
      </c>
      <c r="B12" s="18">
        <f t="shared" si="3"/>
        <v>24.435187499999998</v>
      </c>
      <c r="C12" s="18">
        <f t="shared" si="2"/>
        <v>35.023768749999995</v>
      </c>
      <c r="D12" s="18">
        <f t="shared" si="2"/>
        <v>45.612349999999992</v>
      </c>
      <c r="E12" s="18">
        <f t="shared" si="2"/>
        <v>56.200931249999989</v>
      </c>
      <c r="F12" s="18">
        <f t="shared" si="2"/>
        <v>66.789512500000001</v>
      </c>
      <c r="G12" s="18">
        <f t="shared" si="2"/>
        <v>77.378093749999991</v>
      </c>
      <c r="H12" s="18">
        <f t="shared" si="2"/>
        <v>87.966674999999981</v>
      </c>
      <c r="I12" s="14"/>
      <c r="J12" s="14"/>
      <c r="K12" s="14">
        <f t="shared" si="1"/>
        <v>0.24435187499999997</v>
      </c>
      <c r="L12" s="14">
        <f t="shared" si="1"/>
        <v>0.35023768749999995</v>
      </c>
      <c r="M12" s="14">
        <f t="shared" si="1"/>
        <v>0.4561234999999999</v>
      </c>
      <c r="N12" s="14">
        <f t="shared" si="1"/>
        <v>0.56200931249999986</v>
      </c>
      <c r="O12" s="14">
        <f t="shared" si="1"/>
        <v>0.66789512500000003</v>
      </c>
      <c r="P12" s="14">
        <f t="shared" si="1"/>
        <v>0.77378093749999988</v>
      </c>
      <c r="Q12" s="14">
        <f t="shared" si="1"/>
        <v>0.87966674999999983</v>
      </c>
      <c r="R12" s="14"/>
    </row>
    <row r="13" spans="1:18" x14ac:dyDescent="0.4">
      <c r="A13" s="3">
        <v>110</v>
      </c>
      <c r="B13" s="18">
        <f t="shared" si="3"/>
        <v>23.213428124999997</v>
      </c>
      <c r="C13" s="18">
        <f t="shared" si="2"/>
        <v>33.272580312499997</v>
      </c>
      <c r="D13" s="18">
        <f t="shared" si="2"/>
        <v>43.331732499999994</v>
      </c>
      <c r="E13" s="18">
        <f t="shared" si="2"/>
        <v>53.390884687499984</v>
      </c>
      <c r="F13" s="18">
        <f t="shared" si="2"/>
        <v>63.450036874999995</v>
      </c>
      <c r="G13" s="18">
        <f t="shared" si="2"/>
        <v>73.509189062499985</v>
      </c>
      <c r="H13" s="18">
        <f t="shared" si="2"/>
        <v>83.568341249999975</v>
      </c>
      <c r="I13" s="14"/>
      <c r="J13" s="14"/>
      <c r="K13" s="14">
        <f t="shared" si="1"/>
        <v>0.21103116477272724</v>
      </c>
      <c r="L13" s="14">
        <f t="shared" si="1"/>
        <v>0.30247800284090909</v>
      </c>
      <c r="M13" s="14">
        <f t="shared" si="1"/>
        <v>0.39392484090909086</v>
      </c>
      <c r="N13" s="14">
        <f t="shared" si="1"/>
        <v>0.48537167897727257</v>
      </c>
      <c r="O13" s="14">
        <f t="shared" si="1"/>
        <v>0.5768185170454545</v>
      </c>
      <c r="P13" s="14">
        <f t="shared" si="1"/>
        <v>0.66826535511363627</v>
      </c>
      <c r="Q13" s="14">
        <f t="shared" si="1"/>
        <v>0.75971219318181793</v>
      </c>
      <c r="R13" s="14"/>
    </row>
    <row r="14" spans="1:18" x14ac:dyDescent="0.4">
      <c r="A14" s="3">
        <v>120</v>
      </c>
      <c r="B14" s="18">
        <f t="shared" si="3"/>
        <v>22.052756718749997</v>
      </c>
      <c r="C14" s="18">
        <f t="shared" si="2"/>
        <v>31.608951296874995</v>
      </c>
      <c r="D14" s="18">
        <f t="shared" si="2"/>
        <v>41.165145874999993</v>
      </c>
      <c r="E14" s="18">
        <f t="shared" si="2"/>
        <v>50.721340453124981</v>
      </c>
      <c r="F14" s="18">
        <f t="shared" si="2"/>
        <v>60.27753503124999</v>
      </c>
      <c r="G14" s="18">
        <f t="shared" si="2"/>
        <v>69.833729609374984</v>
      </c>
      <c r="H14" s="18">
        <f t="shared" si="2"/>
        <v>79.389924187499972</v>
      </c>
      <c r="I14" s="14"/>
      <c r="J14" s="14"/>
      <c r="K14" s="14">
        <f t="shared" si="1"/>
        <v>0.18377297265624998</v>
      </c>
      <c r="L14" s="14">
        <f t="shared" si="1"/>
        <v>0.2634079274739583</v>
      </c>
      <c r="M14" s="14">
        <f t="shared" si="1"/>
        <v>0.34304288229166663</v>
      </c>
      <c r="N14" s="14">
        <f t="shared" si="1"/>
        <v>0.42267783710937484</v>
      </c>
      <c r="O14" s="14">
        <f t="shared" si="1"/>
        <v>0.50231279192708322</v>
      </c>
      <c r="P14" s="14">
        <f t="shared" si="1"/>
        <v>0.58194774674479155</v>
      </c>
      <c r="Q14" s="14">
        <f t="shared" si="1"/>
        <v>0.66158270156249976</v>
      </c>
      <c r="R14" s="14"/>
    </row>
    <row r="15" spans="1:18" x14ac:dyDescent="0.4">
      <c r="A15" s="3">
        <v>130</v>
      </c>
      <c r="B15" s="18">
        <f t="shared" si="3"/>
        <v>20.950118882812497</v>
      </c>
      <c r="C15" s="18">
        <f t="shared" si="2"/>
        <v>30.028503732031243</v>
      </c>
      <c r="D15" s="18">
        <f t="shared" si="2"/>
        <v>39.10688858124999</v>
      </c>
      <c r="E15" s="18">
        <f t="shared" si="2"/>
        <v>48.185273430468726</v>
      </c>
      <c r="F15" s="18">
        <f t="shared" si="2"/>
        <v>57.26365827968749</v>
      </c>
      <c r="G15" s="18">
        <f t="shared" si="2"/>
        <v>66.342043128906226</v>
      </c>
      <c r="H15" s="18">
        <f t="shared" si="2"/>
        <v>75.420427978124977</v>
      </c>
      <c r="I15" s="14"/>
      <c r="J15" s="14"/>
      <c r="K15" s="14">
        <f t="shared" si="1"/>
        <v>0.1611547606370192</v>
      </c>
      <c r="L15" s="14">
        <f t="shared" si="1"/>
        <v>0.23098849024639417</v>
      </c>
      <c r="M15" s="14">
        <f t="shared" si="1"/>
        <v>0.30082221985576918</v>
      </c>
      <c r="N15" s="14">
        <f t="shared" si="1"/>
        <v>0.37065594946514402</v>
      </c>
      <c r="O15" s="14">
        <f t="shared" si="1"/>
        <v>0.44048967907451914</v>
      </c>
      <c r="P15" s="14">
        <f t="shared" si="1"/>
        <v>0.51032340868389403</v>
      </c>
      <c r="Q15" s="14">
        <f t="shared" si="1"/>
        <v>0.58015713829326909</v>
      </c>
      <c r="R15" s="14"/>
    </row>
    <row r="16" spans="1:18" x14ac:dyDescent="0.4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27.6" x14ac:dyDescent="0.4">
      <c r="A17" s="25" t="s">
        <v>112</v>
      </c>
      <c r="B17" s="26"/>
      <c r="C17" s="26"/>
      <c r="D17" s="26"/>
      <c r="E17" s="26"/>
      <c r="F17" s="26"/>
      <c r="G17" s="26"/>
      <c r="H17" s="26"/>
      <c r="I17" s="14"/>
      <c r="J17" s="14"/>
      <c r="K17" s="27" t="s">
        <v>113</v>
      </c>
      <c r="L17" s="28"/>
      <c r="M17" s="28"/>
      <c r="N17" s="28"/>
      <c r="O17" s="28"/>
      <c r="P17" s="28"/>
      <c r="Q17" s="28"/>
      <c r="R17" s="28"/>
    </row>
    <row r="18" spans="1:18" x14ac:dyDescent="0.4">
      <c r="A18" s="1" t="s">
        <v>29</v>
      </c>
      <c r="B18" s="14" t="s">
        <v>8</v>
      </c>
      <c r="C18" s="14" t="s">
        <v>9</v>
      </c>
      <c r="D18" s="14" t="s">
        <v>10</v>
      </c>
      <c r="E18" s="14" t="s">
        <v>11</v>
      </c>
      <c r="F18" s="14" t="s">
        <v>31</v>
      </c>
      <c r="G18" s="14" t="s">
        <v>13</v>
      </c>
      <c r="H18" s="14" t="s">
        <v>33</v>
      </c>
      <c r="I18" s="14"/>
      <c r="J18" s="14"/>
      <c r="K18" s="14" t="s">
        <v>8</v>
      </c>
      <c r="L18" s="14" t="s">
        <v>9</v>
      </c>
      <c r="M18" s="14" t="s">
        <v>10</v>
      </c>
      <c r="N18" s="14" t="s">
        <v>11</v>
      </c>
      <c r="O18" s="14" t="s">
        <v>31</v>
      </c>
      <c r="P18" s="14" t="s">
        <v>13</v>
      </c>
      <c r="Q18" s="14" t="s">
        <v>33</v>
      </c>
      <c r="R18" s="14"/>
    </row>
    <row r="19" spans="1:18" x14ac:dyDescent="0.4">
      <c r="A19" s="2">
        <v>44</v>
      </c>
      <c r="B19" s="16">
        <f>B5/2</f>
        <v>12.860624999999999</v>
      </c>
      <c r="C19" s="16">
        <f>C5/2</f>
        <v>18.433562499999997</v>
      </c>
      <c r="D19" s="16">
        <f>D5/2</f>
        <v>24.006499999999996</v>
      </c>
      <c r="E19" s="16">
        <f>E5/2</f>
        <v>29.579437499999997</v>
      </c>
      <c r="F19" s="16">
        <f>F5/2</f>
        <v>35.152374999999999</v>
      </c>
      <c r="G19" s="16">
        <f>G5/2</f>
        <v>40.725312499999994</v>
      </c>
      <c r="H19" s="16">
        <f>H5/2</f>
        <v>46.298249999999989</v>
      </c>
      <c r="I19" s="14"/>
      <c r="J19" s="14"/>
      <c r="K19" s="14">
        <f>B19/$A19</f>
        <v>0.29228693181818177</v>
      </c>
      <c r="L19" s="14">
        <f>D19/$A19</f>
        <v>0.54560227272727257</v>
      </c>
      <c r="M19" s="14">
        <f>F19/$A19</f>
        <v>0.7989176136363636</v>
      </c>
      <c r="N19" s="14">
        <f>E19/$A19</f>
        <v>0.67225994318181814</v>
      </c>
      <c r="O19" s="14">
        <f>G19/$A19</f>
        <v>0.92557528409090895</v>
      </c>
      <c r="P19" s="14">
        <f>G19/$A19</f>
        <v>0.92557528409090895</v>
      </c>
      <c r="Q19" s="14">
        <f>H19/$A19</f>
        <v>1.0522329545454543</v>
      </c>
      <c r="R19" s="14"/>
    </row>
    <row r="20" spans="1:18" x14ac:dyDescent="0.4">
      <c r="A20" s="2">
        <v>48</v>
      </c>
      <c r="B20" s="16">
        <f>B6/2</f>
        <v>13.5375</v>
      </c>
      <c r="C20" s="16">
        <f>C6/2</f>
        <v>19.403749999999999</v>
      </c>
      <c r="D20" s="16">
        <f>D6/2</f>
        <v>25.269999999999996</v>
      </c>
      <c r="E20" s="16">
        <f>E6/2</f>
        <v>31.136249999999997</v>
      </c>
      <c r="F20" s="16">
        <f>F6/2</f>
        <v>37.002499999999998</v>
      </c>
      <c r="G20" s="16">
        <f>G6/2</f>
        <v>42.868749999999999</v>
      </c>
      <c r="H20" s="16">
        <f>H6/2</f>
        <v>48.734999999999992</v>
      </c>
      <c r="I20" s="14"/>
      <c r="J20" s="14"/>
      <c r="K20" s="14">
        <f t="shared" ref="K20:K27" si="4">B20/$A20</f>
        <v>0.28203125000000001</v>
      </c>
      <c r="L20" s="14">
        <f t="shared" ref="L20:L27" si="5">D20/$A20</f>
        <v>0.52645833333333325</v>
      </c>
      <c r="M20" s="14">
        <f t="shared" ref="M20:M27" si="6">F20/$A20</f>
        <v>0.77088541666666666</v>
      </c>
      <c r="N20" s="14">
        <f t="shared" ref="N20:N27" si="7">E20/$A20</f>
        <v>0.6486718749999999</v>
      </c>
      <c r="O20" s="14">
        <f t="shared" ref="O20:O27" si="8">G20/$A20</f>
        <v>0.8930989583333333</v>
      </c>
      <c r="P20" s="14">
        <f t="shared" ref="P20:Q27" si="9">G20/$A20</f>
        <v>0.8930989583333333</v>
      </c>
      <c r="Q20" s="14">
        <f t="shared" si="9"/>
        <v>1.0153124999999998</v>
      </c>
      <c r="R20" s="14"/>
    </row>
    <row r="21" spans="1:18" x14ac:dyDescent="0.4">
      <c r="A21" s="2">
        <v>52</v>
      </c>
      <c r="B21" s="16">
        <f>B7/2</f>
        <v>14.25</v>
      </c>
      <c r="C21" s="16">
        <f>C7/2</f>
        <v>20.425000000000001</v>
      </c>
      <c r="D21" s="16">
        <f>D7/2</f>
        <v>26.599999999999998</v>
      </c>
      <c r="E21" s="16">
        <f>E7/2</f>
        <v>32.774999999999999</v>
      </c>
      <c r="F21" s="16">
        <f>F7/2</f>
        <v>38.949999999999996</v>
      </c>
      <c r="G21" s="16">
        <f>G7/2</f>
        <v>45.125</v>
      </c>
      <c r="H21" s="16">
        <f>H7/2</f>
        <v>51.3</v>
      </c>
      <c r="I21" s="14"/>
      <c r="J21" s="14"/>
      <c r="K21" s="14">
        <f t="shared" si="4"/>
        <v>0.27403846153846156</v>
      </c>
      <c r="L21" s="14">
        <f t="shared" si="5"/>
        <v>0.5115384615384615</v>
      </c>
      <c r="M21" s="14">
        <f t="shared" si="6"/>
        <v>0.74903846153846143</v>
      </c>
      <c r="N21" s="14">
        <f t="shared" si="7"/>
        <v>0.63028846153846152</v>
      </c>
      <c r="O21" s="14">
        <f t="shared" si="8"/>
        <v>0.86778846153846156</v>
      </c>
      <c r="P21" s="14">
        <f t="shared" si="9"/>
        <v>0.86778846153846156</v>
      </c>
      <c r="Q21" s="14">
        <f t="shared" si="9"/>
        <v>0.98653846153846148</v>
      </c>
      <c r="R21" s="14"/>
    </row>
    <row r="22" spans="1:18" x14ac:dyDescent="0.4">
      <c r="A22" s="2">
        <v>56</v>
      </c>
      <c r="B22" s="16">
        <f>B8/2</f>
        <v>15</v>
      </c>
      <c r="C22" s="16">
        <f>C8/2</f>
        <v>21.5</v>
      </c>
      <c r="D22" s="16">
        <f>D8/2</f>
        <v>28</v>
      </c>
      <c r="E22" s="16">
        <f>E8/2</f>
        <v>34.5</v>
      </c>
      <c r="F22" s="16">
        <f>F8/2</f>
        <v>41</v>
      </c>
      <c r="G22" s="16">
        <f>G8/2</f>
        <v>47.5</v>
      </c>
      <c r="H22" s="16">
        <f>H8/2</f>
        <v>54</v>
      </c>
      <c r="I22" s="14"/>
      <c r="J22" s="14"/>
      <c r="K22" s="14">
        <f t="shared" si="4"/>
        <v>0.26785714285714285</v>
      </c>
      <c r="L22" s="14">
        <f t="shared" si="5"/>
        <v>0.5</v>
      </c>
      <c r="M22" s="14">
        <f t="shared" si="6"/>
        <v>0.7321428571428571</v>
      </c>
      <c r="N22" s="14">
        <f t="shared" si="7"/>
        <v>0.6160714285714286</v>
      </c>
      <c r="O22" s="14">
        <f t="shared" si="8"/>
        <v>0.8482142857142857</v>
      </c>
      <c r="P22" s="14">
        <f t="shared" si="9"/>
        <v>0.8482142857142857</v>
      </c>
      <c r="Q22" s="14">
        <f t="shared" si="9"/>
        <v>0.9642857142857143</v>
      </c>
      <c r="R22" s="14"/>
    </row>
    <row r="23" spans="1:18" x14ac:dyDescent="0.4">
      <c r="A23" s="2">
        <v>60</v>
      </c>
      <c r="B23" s="16">
        <f>B22*0.95</f>
        <v>14.25</v>
      </c>
      <c r="C23" s="16">
        <f t="shared" ref="C23:H27" si="10">C22*0.95</f>
        <v>20.425000000000001</v>
      </c>
      <c r="D23" s="16">
        <f t="shared" si="10"/>
        <v>26.599999999999998</v>
      </c>
      <c r="E23" s="16">
        <f t="shared" si="10"/>
        <v>32.774999999999999</v>
      </c>
      <c r="F23" s="16">
        <f t="shared" si="10"/>
        <v>38.949999999999996</v>
      </c>
      <c r="G23" s="16">
        <f t="shared" si="10"/>
        <v>45.125</v>
      </c>
      <c r="H23" s="16">
        <f t="shared" si="10"/>
        <v>51.3</v>
      </c>
      <c r="I23" s="14"/>
      <c r="J23" s="14"/>
      <c r="K23" s="14">
        <f t="shared" si="4"/>
        <v>0.23749999999999999</v>
      </c>
      <c r="L23" s="14">
        <f t="shared" si="5"/>
        <v>0.4433333333333333</v>
      </c>
      <c r="M23" s="14">
        <f t="shared" si="6"/>
        <v>0.64916666666666656</v>
      </c>
      <c r="N23" s="14">
        <f t="shared" si="7"/>
        <v>0.54625000000000001</v>
      </c>
      <c r="O23" s="14">
        <f t="shared" si="8"/>
        <v>0.75208333333333333</v>
      </c>
      <c r="P23" s="14">
        <f t="shared" si="9"/>
        <v>0.75208333333333333</v>
      </c>
      <c r="Q23" s="14">
        <f t="shared" si="9"/>
        <v>0.85499999999999998</v>
      </c>
      <c r="R23" s="14"/>
    </row>
    <row r="24" spans="1:18" x14ac:dyDescent="0.4">
      <c r="A24" s="2">
        <v>67</v>
      </c>
      <c r="B24" s="16">
        <f t="shared" ref="B24:B27" si="11">B23*0.95</f>
        <v>13.5375</v>
      </c>
      <c r="C24" s="16">
        <f t="shared" si="10"/>
        <v>19.403749999999999</v>
      </c>
      <c r="D24" s="16">
        <f t="shared" si="10"/>
        <v>25.269999999999996</v>
      </c>
      <c r="E24" s="16">
        <f t="shared" si="10"/>
        <v>31.136249999999997</v>
      </c>
      <c r="F24" s="16">
        <f t="shared" si="10"/>
        <v>37.002499999999998</v>
      </c>
      <c r="G24" s="16">
        <f t="shared" si="10"/>
        <v>42.868749999999999</v>
      </c>
      <c r="H24" s="16">
        <f t="shared" si="10"/>
        <v>48.734999999999992</v>
      </c>
      <c r="I24" s="14"/>
      <c r="J24" s="14"/>
      <c r="K24" s="14">
        <f t="shared" si="4"/>
        <v>0.20205223880597015</v>
      </c>
      <c r="L24" s="14">
        <f t="shared" si="5"/>
        <v>0.37716417910447753</v>
      </c>
      <c r="M24" s="14">
        <f t="shared" si="6"/>
        <v>0.55227611940298504</v>
      </c>
      <c r="N24" s="14">
        <f t="shared" si="7"/>
        <v>0.46472014925373129</v>
      </c>
      <c r="O24" s="14">
        <f t="shared" si="8"/>
        <v>0.6398320895522388</v>
      </c>
      <c r="P24" s="14">
        <f t="shared" si="9"/>
        <v>0.6398320895522388</v>
      </c>
      <c r="Q24" s="14">
        <f t="shared" si="9"/>
        <v>0.72738805970149245</v>
      </c>
      <c r="R24" s="14"/>
    </row>
    <row r="25" spans="1:18" x14ac:dyDescent="0.4">
      <c r="A25" s="2">
        <v>75</v>
      </c>
      <c r="B25" s="16">
        <f t="shared" si="11"/>
        <v>12.860624999999999</v>
      </c>
      <c r="C25" s="16">
        <f t="shared" si="10"/>
        <v>18.433562499999997</v>
      </c>
      <c r="D25" s="16">
        <f t="shared" si="10"/>
        <v>24.006499999999996</v>
      </c>
      <c r="E25" s="16">
        <f t="shared" si="10"/>
        <v>29.579437499999997</v>
      </c>
      <c r="F25" s="16">
        <f t="shared" si="10"/>
        <v>35.152374999999999</v>
      </c>
      <c r="G25" s="16">
        <f t="shared" si="10"/>
        <v>40.725312499999994</v>
      </c>
      <c r="H25" s="16">
        <f t="shared" si="10"/>
        <v>46.298249999999989</v>
      </c>
      <c r="I25" s="14"/>
      <c r="J25" s="14"/>
      <c r="K25" s="14">
        <f t="shared" si="4"/>
        <v>0.17147499999999999</v>
      </c>
      <c r="L25" s="14">
        <f t="shared" si="5"/>
        <v>0.32008666666666663</v>
      </c>
      <c r="M25" s="14">
        <f t="shared" si="6"/>
        <v>0.46869833333333333</v>
      </c>
      <c r="N25" s="14">
        <f t="shared" si="7"/>
        <v>0.39439249999999998</v>
      </c>
      <c r="O25" s="14">
        <f t="shared" si="8"/>
        <v>0.54300416666666662</v>
      </c>
      <c r="P25" s="14">
        <f t="shared" si="9"/>
        <v>0.54300416666666662</v>
      </c>
      <c r="Q25" s="14">
        <f t="shared" si="9"/>
        <v>0.6173099999999998</v>
      </c>
      <c r="R25" s="14"/>
    </row>
    <row r="26" spans="1:18" x14ac:dyDescent="0.4">
      <c r="A26" s="2">
        <v>82</v>
      </c>
      <c r="B26" s="16">
        <f t="shared" si="11"/>
        <v>12.217593749999999</v>
      </c>
      <c r="C26" s="16">
        <f t="shared" si="10"/>
        <v>17.511884374999998</v>
      </c>
      <c r="D26" s="16">
        <f t="shared" si="10"/>
        <v>22.806174999999996</v>
      </c>
      <c r="E26" s="16">
        <f t="shared" si="10"/>
        <v>28.100465624999995</v>
      </c>
      <c r="F26" s="16">
        <f t="shared" si="10"/>
        <v>33.39475625</v>
      </c>
      <c r="G26" s="16">
        <f t="shared" si="10"/>
        <v>38.689046874999995</v>
      </c>
      <c r="H26" s="16">
        <f t="shared" si="10"/>
        <v>43.98333749999999</v>
      </c>
      <c r="I26" s="14"/>
      <c r="J26" s="14"/>
      <c r="K26" s="14">
        <f t="shared" si="4"/>
        <v>0.1489950457317073</v>
      </c>
      <c r="L26" s="14">
        <f t="shared" si="5"/>
        <v>0.27812408536585359</v>
      </c>
      <c r="M26" s="14">
        <f t="shared" si="6"/>
        <v>0.40725312499999999</v>
      </c>
      <c r="N26" s="14">
        <f t="shared" si="7"/>
        <v>0.34268860518292676</v>
      </c>
      <c r="O26" s="14">
        <f t="shared" si="8"/>
        <v>0.47181764481707311</v>
      </c>
      <c r="P26" s="14">
        <f t="shared" si="9"/>
        <v>0.47181764481707311</v>
      </c>
      <c r="Q26" s="14">
        <f t="shared" si="9"/>
        <v>0.53638216463414623</v>
      </c>
      <c r="R26" s="14"/>
    </row>
    <row r="27" spans="1:18" x14ac:dyDescent="0.4">
      <c r="A27" s="2">
        <v>90</v>
      </c>
      <c r="B27" s="16">
        <f t="shared" si="11"/>
        <v>11.606714062499998</v>
      </c>
      <c r="C27" s="16">
        <f t="shared" si="10"/>
        <v>16.636290156249999</v>
      </c>
      <c r="D27" s="16">
        <f t="shared" si="10"/>
        <v>21.665866249999997</v>
      </c>
      <c r="E27" s="16">
        <f t="shared" si="10"/>
        <v>26.695442343749992</v>
      </c>
      <c r="F27" s="16">
        <f t="shared" si="10"/>
        <v>31.725018437499998</v>
      </c>
      <c r="G27" s="16">
        <f t="shared" si="10"/>
        <v>36.754594531249992</v>
      </c>
      <c r="H27" s="16">
        <f t="shared" si="10"/>
        <v>41.784170624999987</v>
      </c>
      <c r="I27" s="14"/>
      <c r="J27" s="14"/>
      <c r="K27" s="14">
        <f t="shared" si="4"/>
        <v>0.12896348958333331</v>
      </c>
      <c r="L27" s="14">
        <f t="shared" si="5"/>
        <v>0.24073184722222218</v>
      </c>
      <c r="M27" s="14">
        <f t="shared" si="6"/>
        <v>0.35250020486111111</v>
      </c>
      <c r="N27" s="14">
        <f t="shared" si="7"/>
        <v>0.29661602604166659</v>
      </c>
      <c r="O27" s="14">
        <f t="shared" si="8"/>
        <v>0.40838438368055546</v>
      </c>
      <c r="P27" s="14">
        <f t="shared" si="9"/>
        <v>0.40838438368055546</v>
      </c>
      <c r="Q27" s="14">
        <f t="shared" si="9"/>
        <v>0.46426856249999987</v>
      </c>
      <c r="R27" s="14"/>
    </row>
    <row r="28" spans="1:18" x14ac:dyDescent="0.4">
      <c r="A28" s="4"/>
      <c r="B28" s="16"/>
      <c r="C28" s="16"/>
      <c r="D28" s="16"/>
      <c r="E28" s="16"/>
      <c r="F28" s="16"/>
      <c r="G28" s="16"/>
      <c r="H28" s="16"/>
      <c r="I28" s="5"/>
      <c r="J28" s="14"/>
      <c r="K28" s="14"/>
      <c r="L28" s="14"/>
      <c r="M28" s="14"/>
      <c r="N28" s="14"/>
      <c r="O28" s="14"/>
      <c r="P28" s="14"/>
      <c r="Q28" s="14"/>
      <c r="R28" s="14"/>
    </row>
    <row r="29" spans="1:18" x14ac:dyDescent="0.4">
      <c r="A29" s="4"/>
      <c r="B29" s="16"/>
      <c r="C29" s="16"/>
      <c r="D29" s="16"/>
      <c r="E29" s="16"/>
      <c r="F29" s="16"/>
      <c r="G29" s="16"/>
      <c r="H29" s="16"/>
      <c r="I29" s="5"/>
      <c r="J29" s="14"/>
      <c r="K29" s="14"/>
      <c r="L29" s="14"/>
      <c r="M29" s="14"/>
      <c r="N29" s="14"/>
      <c r="O29" s="14"/>
      <c r="P29" s="14"/>
      <c r="Q29" s="14"/>
      <c r="R29" s="14"/>
    </row>
  </sheetData>
  <mergeCells count="6">
    <mergeCell ref="A1:Q1"/>
    <mergeCell ref="A3:H3"/>
    <mergeCell ref="K3:R3"/>
    <mergeCell ref="A17:H17"/>
    <mergeCell ref="K17:R17"/>
    <mergeCell ref="A2:H2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opLeftCell="A2" zoomScale="94" zoomScaleNormal="94" workbookViewId="0">
      <selection activeCell="J19" sqref="J19"/>
    </sheetView>
  </sheetViews>
  <sheetFormatPr defaultColWidth="8.69921875" defaultRowHeight="17.399999999999999" x14ac:dyDescent="0.4"/>
  <cols>
    <col min="1" max="16384" width="8.69921875" style="14"/>
  </cols>
  <sheetData>
    <row r="1" spans="1:18" ht="25.2" x14ac:dyDescent="0.4">
      <c r="A1" s="2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8" ht="25.2" x14ac:dyDescent="0.4">
      <c r="A2" s="30" t="s">
        <v>148</v>
      </c>
      <c r="B2" s="30"/>
      <c r="C2" s="30"/>
      <c r="D2" s="30"/>
      <c r="E2" s="30"/>
      <c r="F2" s="30"/>
      <c r="G2" s="30"/>
      <c r="H2" s="30"/>
      <c r="I2" s="24"/>
      <c r="J2" s="24"/>
      <c r="K2" s="24"/>
      <c r="L2" s="24"/>
      <c r="M2" s="24"/>
      <c r="N2" s="24"/>
      <c r="O2" s="24"/>
      <c r="P2" s="24"/>
      <c r="Q2" s="24"/>
    </row>
    <row r="3" spans="1:18" ht="25.2" x14ac:dyDescent="0.4">
      <c r="A3" s="25" t="s">
        <v>114</v>
      </c>
      <c r="B3" s="26"/>
      <c r="C3" s="26"/>
      <c r="D3" s="26"/>
      <c r="E3" s="26"/>
      <c r="F3" s="26"/>
      <c r="G3" s="26"/>
      <c r="H3" s="26"/>
      <c r="I3" s="14" t="s">
        <v>149</v>
      </c>
      <c r="K3" s="25" t="s">
        <v>115</v>
      </c>
      <c r="L3" s="26"/>
      <c r="M3" s="26"/>
      <c r="N3" s="26"/>
      <c r="O3" s="26"/>
      <c r="P3" s="26"/>
      <c r="Q3" s="26"/>
      <c r="R3" s="26"/>
    </row>
    <row r="4" spans="1:18" x14ac:dyDescent="0.4">
      <c r="A4" s="1" t="s">
        <v>29</v>
      </c>
      <c r="B4" s="14" t="s">
        <v>8</v>
      </c>
      <c r="C4" s="14" t="s">
        <v>9</v>
      </c>
      <c r="D4" s="14" t="s">
        <v>10</v>
      </c>
      <c r="E4" s="14" t="s">
        <v>11</v>
      </c>
      <c r="F4" s="14" t="s">
        <v>31</v>
      </c>
      <c r="G4" s="14" t="s">
        <v>13</v>
      </c>
      <c r="H4" s="14" t="s">
        <v>33</v>
      </c>
      <c r="K4" s="14" t="s">
        <v>8</v>
      </c>
      <c r="L4" s="14" t="s">
        <v>9</v>
      </c>
      <c r="M4" s="14" t="s">
        <v>10</v>
      </c>
      <c r="N4" s="14" t="s">
        <v>11</v>
      </c>
      <c r="O4" s="14" t="s">
        <v>31</v>
      </c>
      <c r="P4" s="14" t="s">
        <v>13</v>
      </c>
      <c r="Q4" s="14" t="s">
        <v>33</v>
      </c>
    </row>
    <row r="5" spans="1:18" x14ac:dyDescent="0.4">
      <c r="A5" s="3">
        <v>55</v>
      </c>
      <c r="B5" s="16">
        <f t="shared" ref="B5:H7" si="0">B6*0.95</f>
        <v>8.5737500000000004</v>
      </c>
      <c r="C5" s="16">
        <f t="shared" si="0"/>
        <v>17.147500000000001</v>
      </c>
      <c r="D5" s="16">
        <f t="shared" si="0"/>
        <v>30.008124999999996</v>
      </c>
      <c r="E5" s="16">
        <f t="shared" si="0"/>
        <v>41.153999999999989</v>
      </c>
      <c r="F5" s="16">
        <f t="shared" si="0"/>
        <v>45.440874999999984</v>
      </c>
      <c r="G5" s="16">
        <f t="shared" si="0"/>
        <v>48.012999999999991</v>
      </c>
      <c r="H5" s="16">
        <f t="shared" si="0"/>
        <v>51.442499999999995</v>
      </c>
      <c r="K5" s="14">
        <f t="shared" ref="K5:Q15" si="1">B5/$A5</f>
        <v>0.15588636363636366</v>
      </c>
      <c r="L5" s="14">
        <f t="shared" si="1"/>
        <v>0.31177272727272731</v>
      </c>
      <c r="M5" s="14">
        <f t="shared" si="1"/>
        <v>0.54560227272727269</v>
      </c>
      <c r="N5" s="14">
        <f t="shared" si="1"/>
        <v>0.74825454545454528</v>
      </c>
      <c r="O5" s="14">
        <f t="shared" si="1"/>
        <v>0.826197727272727</v>
      </c>
      <c r="P5" s="14">
        <f t="shared" si="1"/>
        <v>0.87296363636363616</v>
      </c>
      <c r="Q5" s="14">
        <f t="shared" si="1"/>
        <v>0.93531818181818172</v>
      </c>
    </row>
    <row r="6" spans="1:18" x14ac:dyDescent="0.4">
      <c r="A6" s="3">
        <v>60</v>
      </c>
      <c r="B6" s="16">
        <f t="shared" si="0"/>
        <v>9.0250000000000004</v>
      </c>
      <c r="C6" s="16">
        <f t="shared" si="0"/>
        <v>18.05</v>
      </c>
      <c r="D6" s="16">
        <f t="shared" si="0"/>
        <v>31.587499999999999</v>
      </c>
      <c r="E6" s="16">
        <f t="shared" si="0"/>
        <v>43.319999999999993</v>
      </c>
      <c r="F6" s="16">
        <f t="shared" si="0"/>
        <v>47.832499999999989</v>
      </c>
      <c r="G6" s="16">
        <f t="shared" si="0"/>
        <v>50.539999999999992</v>
      </c>
      <c r="H6" s="16">
        <f t="shared" si="0"/>
        <v>54.15</v>
      </c>
      <c r="K6" s="14">
        <f t="shared" si="1"/>
        <v>0.15041666666666667</v>
      </c>
      <c r="L6" s="14">
        <f t="shared" si="1"/>
        <v>0.30083333333333334</v>
      </c>
      <c r="M6" s="14">
        <f t="shared" si="1"/>
        <v>0.52645833333333336</v>
      </c>
      <c r="N6" s="14">
        <f t="shared" si="1"/>
        <v>0.72199999999999986</v>
      </c>
      <c r="O6" s="14">
        <f t="shared" si="1"/>
        <v>0.79720833333333319</v>
      </c>
      <c r="P6" s="14">
        <f t="shared" si="1"/>
        <v>0.84233333333333316</v>
      </c>
      <c r="Q6" s="14">
        <f t="shared" si="1"/>
        <v>0.90249999999999997</v>
      </c>
    </row>
    <row r="7" spans="1:18" x14ac:dyDescent="0.4">
      <c r="A7" s="3">
        <v>65</v>
      </c>
      <c r="B7" s="16">
        <f>B8*0.95</f>
        <v>9.5</v>
      </c>
      <c r="C7" s="16">
        <f t="shared" si="0"/>
        <v>19</v>
      </c>
      <c r="D7" s="16">
        <f t="shared" si="0"/>
        <v>33.25</v>
      </c>
      <c r="E7" s="16">
        <f t="shared" si="0"/>
        <v>45.599999999999994</v>
      </c>
      <c r="F7" s="16">
        <f t="shared" si="0"/>
        <v>50.349999999999994</v>
      </c>
      <c r="G7" s="16">
        <f t="shared" si="0"/>
        <v>53.199999999999996</v>
      </c>
      <c r="H7" s="16">
        <f t="shared" si="0"/>
        <v>57</v>
      </c>
      <c r="K7" s="14">
        <f t="shared" si="1"/>
        <v>0.14615384615384616</v>
      </c>
      <c r="L7" s="14">
        <f t="shared" si="1"/>
        <v>0.29230769230769232</v>
      </c>
      <c r="M7" s="14">
        <f t="shared" si="1"/>
        <v>0.5115384615384615</v>
      </c>
      <c r="N7" s="14">
        <f t="shared" si="1"/>
        <v>0.70153846153846144</v>
      </c>
      <c r="O7" s="14">
        <f t="shared" si="1"/>
        <v>0.77461538461538448</v>
      </c>
      <c r="P7" s="14">
        <f t="shared" si="1"/>
        <v>0.81846153846153835</v>
      </c>
      <c r="Q7" s="14">
        <f t="shared" si="1"/>
        <v>0.87692307692307692</v>
      </c>
    </row>
    <row r="8" spans="1:18" x14ac:dyDescent="0.4">
      <c r="A8" s="3">
        <v>70</v>
      </c>
      <c r="B8" s="19">
        <v>10</v>
      </c>
      <c r="C8" s="19">
        <v>20</v>
      </c>
      <c r="D8" s="19">
        <v>35</v>
      </c>
      <c r="E8" s="19">
        <v>48</v>
      </c>
      <c r="F8" s="20">
        <v>53</v>
      </c>
      <c r="G8" s="19">
        <v>56</v>
      </c>
      <c r="H8" s="19">
        <v>60</v>
      </c>
      <c r="K8" s="14">
        <f t="shared" si="1"/>
        <v>0.14285714285714285</v>
      </c>
      <c r="L8" s="14">
        <f t="shared" si="1"/>
        <v>0.2857142857142857</v>
      </c>
      <c r="M8" s="14">
        <f t="shared" si="1"/>
        <v>0.5</v>
      </c>
      <c r="N8" s="14">
        <f t="shared" si="1"/>
        <v>0.68571428571428572</v>
      </c>
      <c r="O8" s="14">
        <f t="shared" si="1"/>
        <v>0.75714285714285712</v>
      </c>
      <c r="P8" s="14">
        <f t="shared" si="1"/>
        <v>0.8</v>
      </c>
      <c r="Q8" s="14">
        <f t="shared" si="1"/>
        <v>0.8571428571428571</v>
      </c>
    </row>
    <row r="9" spans="1:18" x14ac:dyDescent="0.4">
      <c r="A9" s="3">
        <v>75</v>
      </c>
      <c r="B9" s="18">
        <f>B8*0.95</f>
        <v>9.5</v>
      </c>
      <c r="C9" s="18">
        <f t="shared" ref="C9:H15" si="2">C8*0.95</f>
        <v>19</v>
      </c>
      <c r="D9" s="18">
        <f t="shared" si="2"/>
        <v>33.25</v>
      </c>
      <c r="E9" s="18">
        <f t="shared" si="2"/>
        <v>45.599999999999994</v>
      </c>
      <c r="F9" s="18">
        <f t="shared" si="2"/>
        <v>50.349999999999994</v>
      </c>
      <c r="G9" s="18">
        <f t="shared" si="2"/>
        <v>53.199999999999996</v>
      </c>
      <c r="H9" s="18">
        <f t="shared" si="2"/>
        <v>57</v>
      </c>
      <c r="K9" s="14">
        <f t="shared" si="1"/>
        <v>0.12666666666666668</v>
      </c>
      <c r="L9" s="14">
        <f t="shared" si="1"/>
        <v>0.25333333333333335</v>
      </c>
      <c r="M9" s="14">
        <f t="shared" si="1"/>
        <v>0.44333333333333336</v>
      </c>
      <c r="N9" s="14">
        <f t="shared" si="1"/>
        <v>0.60799999999999987</v>
      </c>
      <c r="O9" s="14">
        <f t="shared" si="1"/>
        <v>0.67133333333333323</v>
      </c>
      <c r="P9" s="14">
        <f t="shared" si="1"/>
        <v>0.70933333333333326</v>
      </c>
      <c r="Q9" s="14">
        <f t="shared" si="1"/>
        <v>0.76</v>
      </c>
    </row>
    <row r="10" spans="1:18" x14ac:dyDescent="0.4">
      <c r="A10" s="3">
        <v>82</v>
      </c>
      <c r="B10" s="18">
        <f t="shared" ref="B10:B15" si="3">B9*0.95</f>
        <v>9.0250000000000004</v>
      </c>
      <c r="C10" s="18">
        <f t="shared" si="2"/>
        <v>18.05</v>
      </c>
      <c r="D10" s="18">
        <f t="shared" si="2"/>
        <v>31.587499999999999</v>
      </c>
      <c r="E10" s="18">
        <f t="shared" si="2"/>
        <v>43.319999999999993</v>
      </c>
      <c r="F10" s="18">
        <f t="shared" si="2"/>
        <v>47.832499999999989</v>
      </c>
      <c r="G10" s="18">
        <f t="shared" si="2"/>
        <v>50.539999999999992</v>
      </c>
      <c r="H10" s="18">
        <f t="shared" si="2"/>
        <v>54.15</v>
      </c>
      <c r="K10" s="14">
        <f t="shared" si="1"/>
        <v>0.1100609756097561</v>
      </c>
      <c r="L10" s="14">
        <f t="shared" si="1"/>
        <v>0.2201219512195122</v>
      </c>
      <c r="M10" s="14">
        <f t="shared" si="1"/>
        <v>0.38521341463414632</v>
      </c>
      <c r="N10" s="14">
        <f t="shared" si="1"/>
        <v>0.52829268292682918</v>
      </c>
      <c r="O10" s="14">
        <f t="shared" si="1"/>
        <v>0.58332317073170714</v>
      </c>
      <c r="P10" s="14">
        <f t="shared" si="1"/>
        <v>0.61634146341463403</v>
      </c>
      <c r="Q10" s="14">
        <f t="shared" si="1"/>
        <v>0.66036585365853662</v>
      </c>
    </row>
    <row r="11" spans="1:18" x14ac:dyDescent="0.4">
      <c r="A11" s="3">
        <v>90</v>
      </c>
      <c r="B11" s="18">
        <f t="shared" si="3"/>
        <v>8.5737500000000004</v>
      </c>
      <c r="C11" s="18">
        <f t="shared" si="2"/>
        <v>17.147500000000001</v>
      </c>
      <c r="D11" s="18">
        <f t="shared" si="2"/>
        <v>30.008124999999996</v>
      </c>
      <c r="E11" s="18">
        <f t="shared" si="2"/>
        <v>41.153999999999989</v>
      </c>
      <c r="F11" s="18">
        <f t="shared" si="2"/>
        <v>45.440874999999984</v>
      </c>
      <c r="G11" s="18">
        <f t="shared" si="2"/>
        <v>48.012999999999991</v>
      </c>
      <c r="H11" s="18">
        <f t="shared" si="2"/>
        <v>51.442499999999995</v>
      </c>
      <c r="K11" s="14">
        <f t="shared" si="1"/>
        <v>9.5263888888888898E-2</v>
      </c>
      <c r="L11" s="14">
        <f t="shared" si="1"/>
        <v>0.1905277777777778</v>
      </c>
      <c r="M11" s="14">
        <f t="shared" si="1"/>
        <v>0.33342361111111107</v>
      </c>
      <c r="N11" s="14">
        <f t="shared" si="1"/>
        <v>0.45726666666666654</v>
      </c>
      <c r="O11" s="14">
        <f t="shared" si="1"/>
        <v>0.5048986111111109</v>
      </c>
      <c r="P11" s="14">
        <f t="shared" si="1"/>
        <v>0.53347777777777772</v>
      </c>
      <c r="Q11" s="14">
        <f t="shared" si="1"/>
        <v>0.57158333333333333</v>
      </c>
    </row>
    <row r="12" spans="1:18" x14ac:dyDescent="0.4">
      <c r="A12" s="3">
        <v>100</v>
      </c>
      <c r="B12" s="18">
        <f t="shared" si="3"/>
        <v>8.1450624999999999</v>
      </c>
      <c r="C12" s="18">
        <f t="shared" si="2"/>
        <v>16.290125</v>
      </c>
      <c r="D12" s="18">
        <f t="shared" si="2"/>
        <v>28.507718749999995</v>
      </c>
      <c r="E12" s="18">
        <f t="shared" si="2"/>
        <v>39.096299999999985</v>
      </c>
      <c r="F12" s="18">
        <f t="shared" si="2"/>
        <v>43.168831249999982</v>
      </c>
      <c r="G12" s="18">
        <f t="shared" si="2"/>
        <v>45.612349999999992</v>
      </c>
      <c r="H12" s="18">
        <f t="shared" si="2"/>
        <v>48.870374999999996</v>
      </c>
      <c r="K12" s="14">
        <f t="shared" si="1"/>
        <v>8.1450624999999999E-2</v>
      </c>
      <c r="L12" s="14">
        <f t="shared" si="1"/>
        <v>0.16290125</v>
      </c>
      <c r="M12" s="14">
        <f t="shared" si="1"/>
        <v>0.28507718749999994</v>
      </c>
      <c r="N12" s="14">
        <f t="shared" si="1"/>
        <v>0.39096299999999984</v>
      </c>
      <c r="O12" s="14">
        <f t="shared" si="1"/>
        <v>0.43168831249999984</v>
      </c>
      <c r="P12" s="14">
        <f t="shared" si="1"/>
        <v>0.4561234999999999</v>
      </c>
      <c r="Q12" s="14">
        <f t="shared" si="1"/>
        <v>0.48870374999999994</v>
      </c>
    </row>
    <row r="13" spans="1:18" x14ac:dyDescent="0.4">
      <c r="A13" s="3">
        <v>110</v>
      </c>
      <c r="B13" s="18">
        <f t="shared" si="3"/>
        <v>7.7378093749999994</v>
      </c>
      <c r="C13" s="18">
        <f t="shared" si="2"/>
        <v>15.475618749999999</v>
      </c>
      <c r="D13" s="18">
        <f t="shared" si="2"/>
        <v>27.082332812499995</v>
      </c>
      <c r="E13" s="18">
        <f t="shared" si="2"/>
        <v>37.141484999999982</v>
      </c>
      <c r="F13" s="18">
        <f t="shared" si="2"/>
        <v>41.01038968749998</v>
      </c>
      <c r="G13" s="18">
        <f t="shared" si="2"/>
        <v>43.331732499999994</v>
      </c>
      <c r="H13" s="18">
        <f t="shared" si="2"/>
        <v>46.426856249999993</v>
      </c>
      <c r="K13" s="14">
        <f t="shared" si="1"/>
        <v>7.0343721590909083E-2</v>
      </c>
      <c r="L13" s="14">
        <f t="shared" si="1"/>
        <v>0.14068744318181817</v>
      </c>
      <c r="M13" s="14">
        <f t="shared" si="1"/>
        <v>0.24620302556818177</v>
      </c>
      <c r="N13" s="14">
        <f t="shared" si="1"/>
        <v>0.33764986363636346</v>
      </c>
      <c r="O13" s="14">
        <f t="shared" si="1"/>
        <v>0.37282172443181799</v>
      </c>
      <c r="P13" s="14">
        <f t="shared" si="1"/>
        <v>0.39392484090909086</v>
      </c>
      <c r="Q13" s="14">
        <f t="shared" si="1"/>
        <v>0.42206232954545447</v>
      </c>
    </row>
    <row r="14" spans="1:18" x14ac:dyDescent="0.4">
      <c r="A14" s="3">
        <v>120</v>
      </c>
      <c r="B14" s="18">
        <f t="shared" si="3"/>
        <v>7.3509189062499996</v>
      </c>
      <c r="C14" s="18">
        <f t="shared" si="2"/>
        <v>14.701837812499999</v>
      </c>
      <c r="D14" s="18">
        <f t="shared" si="2"/>
        <v>25.728216171874994</v>
      </c>
      <c r="E14" s="18">
        <f t="shared" si="2"/>
        <v>35.284410749999978</v>
      </c>
      <c r="F14" s="18">
        <f t="shared" si="2"/>
        <v>38.959870203124979</v>
      </c>
      <c r="G14" s="18">
        <f t="shared" si="2"/>
        <v>41.165145874999993</v>
      </c>
      <c r="H14" s="18">
        <f t="shared" si="2"/>
        <v>44.105513437499994</v>
      </c>
      <c r="K14" s="14">
        <f t="shared" si="1"/>
        <v>6.1257657552083331E-2</v>
      </c>
      <c r="L14" s="14">
        <f t="shared" si="1"/>
        <v>0.12251531510416666</v>
      </c>
      <c r="M14" s="14">
        <f t="shared" si="1"/>
        <v>0.21440180143229162</v>
      </c>
      <c r="N14" s="14">
        <f t="shared" si="1"/>
        <v>0.29403675624999981</v>
      </c>
      <c r="O14" s="14">
        <f t="shared" si="1"/>
        <v>0.32466558502604148</v>
      </c>
      <c r="P14" s="14">
        <f t="shared" si="1"/>
        <v>0.34304288229166663</v>
      </c>
      <c r="Q14" s="14">
        <f t="shared" si="1"/>
        <v>0.36754594531249996</v>
      </c>
    </row>
    <row r="15" spans="1:18" x14ac:dyDescent="0.4">
      <c r="A15" s="3">
        <v>130</v>
      </c>
      <c r="B15" s="18">
        <f t="shared" si="3"/>
        <v>6.9833729609374995</v>
      </c>
      <c r="C15" s="18">
        <f t="shared" si="2"/>
        <v>13.966745921874999</v>
      </c>
      <c r="D15" s="18">
        <f t="shared" si="2"/>
        <v>24.441805363281244</v>
      </c>
      <c r="E15" s="18">
        <f t="shared" si="2"/>
        <v>33.520190212499976</v>
      </c>
      <c r="F15" s="18">
        <f t="shared" si="2"/>
        <v>37.011876692968727</v>
      </c>
      <c r="G15" s="18">
        <f t="shared" si="2"/>
        <v>39.10688858124999</v>
      </c>
      <c r="H15" s="18">
        <f t="shared" si="2"/>
        <v>41.900237765624993</v>
      </c>
      <c r="K15" s="14">
        <f t="shared" si="1"/>
        <v>5.371825354567307E-2</v>
      </c>
      <c r="L15" s="14">
        <f t="shared" si="1"/>
        <v>0.10743650709134614</v>
      </c>
      <c r="M15" s="14">
        <f t="shared" si="1"/>
        <v>0.18801388740985572</v>
      </c>
      <c r="N15" s="14">
        <f t="shared" si="1"/>
        <v>0.25784761701923059</v>
      </c>
      <c r="O15" s="14">
        <f t="shared" si="1"/>
        <v>0.28470674379206712</v>
      </c>
      <c r="P15" s="14">
        <f t="shared" si="1"/>
        <v>0.30082221985576918</v>
      </c>
      <c r="Q15" s="14">
        <f t="shared" si="1"/>
        <v>0.32230952127403839</v>
      </c>
    </row>
    <row r="17" spans="1:18" ht="27.6" x14ac:dyDescent="0.4">
      <c r="A17" s="25" t="s">
        <v>116</v>
      </c>
      <c r="B17" s="26"/>
      <c r="C17" s="26"/>
      <c r="D17" s="26"/>
      <c r="E17" s="26"/>
      <c r="F17" s="26"/>
      <c r="G17" s="26"/>
      <c r="H17" s="26"/>
      <c r="K17" s="27" t="s">
        <v>117</v>
      </c>
      <c r="L17" s="28"/>
      <c r="M17" s="28"/>
      <c r="N17" s="28"/>
      <c r="O17" s="28"/>
      <c r="P17" s="28"/>
      <c r="Q17" s="28"/>
      <c r="R17" s="28"/>
    </row>
    <row r="18" spans="1:18" x14ac:dyDescent="0.4">
      <c r="A18" s="1" t="s">
        <v>29</v>
      </c>
      <c r="B18" s="14" t="s">
        <v>8</v>
      </c>
      <c r="C18" s="14" t="s">
        <v>9</v>
      </c>
      <c r="D18" s="14" t="s">
        <v>10</v>
      </c>
      <c r="E18" s="14" t="s">
        <v>11</v>
      </c>
      <c r="F18" s="14" t="s">
        <v>31</v>
      </c>
      <c r="G18" s="14" t="s">
        <v>13</v>
      </c>
      <c r="H18" s="14" t="s">
        <v>33</v>
      </c>
      <c r="K18" s="14" t="s">
        <v>8</v>
      </c>
      <c r="L18" s="14" t="s">
        <v>9</v>
      </c>
      <c r="M18" s="14" t="s">
        <v>10</v>
      </c>
      <c r="N18" s="14" t="s">
        <v>11</v>
      </c>
      <c r="O18" s="14" t="s">
        <v>31</v>
      </c>
      <c r="P18" s="14" t="s">
        <v>13</v>
      </c>
      <c r="Q18" s="14" t="s">
        <v>33</v>
      </c>
    </row>
    <row r="19" spans="1:18" x14ac:dyDescent="0.4">
      <c r="A19" s="2">
        <v>44</v>
      </c>
      <c r="B19" s="16">
        <f>B5/2</f>
        <v>4.2868750000000002</v>
      </c>
      <c r="C19" s="16">
        <f>C5/2</f>
        <v>8.5737500000000004</v>
      </c>
      <c r="D19" s="16">
        <f>D5/2</f>
        <v>15.004062499999998</v>
      </c>
      <c r="E19" s="16">
        <f>E5/2</f>
        <v>20.576999999999995</v>
      </c>
      <c r="F19" s="16">
        <f>F5/2</f>
        <v>22.720437499999992</v>
      </c>
      <c r="G19" s="16">
        <f>G5/2</f>
        <v>24.006499999999996</v>
      </c>
      <c r="H19" s="16">
        <f>H5/2</f>
        <v>25.721249999999998</v>
      </c>
      <c r="K19" s="14">
        <f>B19/$A19</f>
        <v>9.7428977272727271E-2</v>
      </c>
      <c r="L19" s="14">
        <f>D19/$A19</f>
        <v>0.3410014204545454</v>
      </c>
      <c r="M19" s="14">
        <f>F19/$A19</f>
        <v>0.51637357954545438</v>
      </c>
      <c r="N19" s="14">
        <f>E19/$A19</f>
        <v>0.4676590909090908</v>
      </c>
      <c r="O19" s="14">
        <f>G19/$A19</f>
        <v>0.54560227272727257</v>
      </c>
      <c r="P19" s="14">
        <f>G19/$A19</f>
        <v>0.54560227272727257</v>
      </c>
      <c r="Q19" s="14">
        <f>H19/$A19</f>
        <v>0.58457386363636354</v>
      </c>
    </row>
    <row r="20" spans="1:18" x14ac:dyDescent="0.4">
      <c r="A20" s="2">
        <v>48</v>
      </c>
      <c r="B20" s="16">
        <f>B6/2</f>
        <v>4.5125000000000002</v>
      </c>
      <c r="C20" s="16">
        <f>C6/2</f>
        <v>9.0250000000000004</v>
      </c>
      <c r="D20" s="16">
        <f>D6/2</f>
        <v>15.793749999999999</v>
      </c>
      <c r="E20" s="16">
        <f>E6/2</f>
        <v>21.659999999999997</v>
      </c>
      <c r="F20" s="16">
        <f>F6/2</f>
        <v>23.916249999999994</v>
      </c>
      <c r="G20" s="16">
        <f>G6/2</f>
        <v>25.269999999999996</v>
      </c>
      <c r="H20" s="16">
        <f>H6/2</f>
        <v>27.074999999999999</v>
      </c>
      <c r="K20" s="14">
        <f t="shared" ref="K20:K27" si="4">B20/$A20</f>
        <v>9.4010416666666666E-2</v>
      </c>
      <c r="L20" s="14">
        <f t="shared" ref="L20:L27" si="5">D20/$A20</f>
        <v>0.32903645833333334</v>
      </c>
      <c r="M20" s="14">
        <f t="shared" ref="M20:M27" si="6">F20/$A20</f>
        <v>0.4982552083333332</v>
      </c>
      <c r="N20" s="14">
        <f t="shared" ref="N20:N27" si="7">E20/$A20</f>
        <v>0.45124999999999993</v>
      </c>
      <c r="O20" s="14">
        <f t="shared" ref="O20:O27" si="8">G20/$A20</f>
        <v>0.52645833333333325</v>
      </c>
      <c r="P20" s="14">
        <f t="shared" ref="P20:Q27" si="9">G20/$A20</f>
        <v>0.52645833333333325</v>
      </c>
      <c r="Q20" s="14">
        <f t="shared" si="9"/>
        <v>0.56406250000000002</v>
      </c>
    </row>
    <row r="21" spans="1:18" x14ac:dyDescent="0.4">
      <c r="A21" s="2">
        <v>52</v>
      </c>
      <c r="B21" s="16">
        <f>B7/2</f>
        <v>4.75</v>
      </c>
      <c r="C21" s="16">
        <f>C7/2</f>
        <v>9.5</v>
      </c>
      <c r="D21" s="16">
        <f>D7/2</f>
        <v>16.625</v>
      </c>
      <c r="E21" s="16">
        <f>E7/2</f>
        <v>22.799999999999997</v>
      </c>
      <c r="F21" s="16">
        <f>F7/2</f>
        <v>25.174999999999997</v>
      </c>
      <c r="G21" s="16">
        <f>G7/2</f>
        <v>26.599999999999998</v>
      </c>
      <c r="H21" s="16">
        <f>H7/2</f>
        <v>28.5</v>
      </c>
      <c r="K21" s="14">
        <f t="shared" si="4"/>
        <v>9.1346153846153841E-2</v>
      </c>
      <c r="L21" s="14">
        <f t="shared" si="5"/>
        <v>0.31971153846153844</v>
      </c>
      <c r="M21" s="14">
        <f t="shared" si="6"/>
        <v>0.48413461538461533</v>
      </c>
      <c r="N21" s="14">
        <f t="shared" si="7"/>
        <v>0.4384615384615384</v>
      </c>
      <c r="O21" s="14">
        <f t="shared" si="8"/>
        <v>0.5115384615384615</v>
      </c>
      <c r="P21" s="14">
        <f t="shared" si="9"/>
        <v>0.5115384615384615</v>
      </c>
      <c r="Q21" s="14">
        <f t="shared" si="9"/>
        <v>0.54807692307692313</v>
      </c>
    </row>
    <row r="22" spans="1:18" x14ac:dyDescent="0.4">
      <c r="A22" s="2">
        <v>56</v>
      </c>
      <c r="B22" s="16">
        <f>B8/2</f>
        <v>5</v>
      </c>
      <c r="C22" s="16">
        <f>C8/2</f>
        <v>10</v>
      </c>
      <c r="D22" s="16">
        <f>D8/2</f>
        <v>17.5</v>
      </c>
      <c r="E22" s="16">
        <f>E8/2</f>
        <v>24</v>
      </c>
      <c r="F22" s="16">
        <f>F8/2</f>
        <v>26.5</v>
      </c>
      <c r="G22" s="16">
        <f>G8/2</f>
        <v>28</v>
      </c>
      <c r="H22" s="16">
        <f>H8/2</f>
        <v>30</v>
      </c>
      <c r="K22" s="14">
        <f t="shared" si="4"/>
        <v>8.9285714285714288E-2</v>
      </c>
      <c r="L22" s="14">
        <f t="shared" si="5"/>
        <v>0.3125</v>
      </c>
      <c r="M22" s="14">
        <f t="shared" si="6"/>
        <v>0.4732142857142857</v>
      </c>
      <c r="N22" s="14">
        <f t="shared" si="7"/>
        <v>0.42857142857142855</v>
      </c>
      <c r="O22" s="14">
        <f t="shared" si="8"/>
        <v>0.5</v>
      </c>
      <c r="P22" s="14">
        <f t="shared" si="9"/>
        <v>0.5</v>
      </c>
      <c r="Q22" s="14">
        <f t="shared" si="9"/>
        <v>0.5357142857142857</v>
      </c>
    </row>
    <row r="23" spans="1:18" x14ac:dyDescent="0.4">
      <c r="A23" s="2">
        <v>60</v>
      </c>
      <c r="B23" s="16">
        <f>B22*0.95</f>
        <v>4.75</v>
      </c>
      <c r="C23" s="16">
        <f t="shared" ref="C23:H27" si="10">C22*0.95</f>
        <v>9.5</v>
      </c>
      <c r="D23" s="16">
        <f t="shared" si="10"/>
        <v>16.625</v>
      </c>
      <c r="E23" s="16">
        <f t="shared" si="10"/>
        <v>22.799999999999997</v>
      </c>
      <c r="F23" s="16">
        <f t="shared" si="10"/>
        <v>25.174999999999997</v>
      </c>
      <c r="G23" s="16">
        <f t="shared" si="10"/>
        <v>26.599999999999998</v>
      </c>
      <c r="H23" s="16">
        <f t="shared" si="10"/>
        <v>28.5</v>
      </c>
      <c r="K23" s="14">
        <f t="shared" si="4"/>
        <v>7.9166666666666663E-2</v>
      </c>
      <c r="L23" s="14">
        <f t="shared" si="5"/>
        <v>0.27708333333333335</v>
      </c>
      <c r="M23" s="14">
        <f t="shared" si="6"/>
        <v>0.41958333333333331</v>
      </c>
      <c r="N23" s="14">
        <f t="shared" si="7"/>
        <v>0.37999999999999995</v>
      </c>
      <c r="O23" s="14">
        <f t="shared" si="8"/>
        <v>0.4433333333333333</v>
      </c>
      <c r="P23" s="14">
        <f t="shared" si="9"/>
        <v>0.4433333333333333</v>
      </c>
      <c r="Q23" s="14">
        <f t="shared" si="9"/>
        <v>0.47499999999999998</v>
      </c>
    </row>
    <row r="24" spans="1:18" x14ac:dyDescent="0.4">
      <c r="A24" s="2">
        <v>67</v>
      </c>
      <c r="B24" s="16">
        <f t="shared" ref="B24:B27" si="11">B23*0.95</f>
        <v>4.5125000000000002</v>
      </c>
      <c r="C24" s="16">
        <f t="shared" si="10"/>
        <v>9.0250000000000004</v>
      </c>
      <c r="D24" s="16">
        <f t="shared" si="10"/>
        <v>15.793749999999999</v>
      </c>
      <c r="E24" s="16">
        <f t="shared" si="10"/>
        <v>21.659999999999997</v>
      </c>
      <c r="F24" s="16">
        <f t="shared" si="10"/>
        <v>23.916249999999994</v>
      </c>
      <c r="G24" s="16">
        <f t="shared" si="10"/>
        <v>25.269999999999996</v>
      </c>
      <c r="H24" s="16">
        <f t="shared" si="10"/>
        <v>27.074999999999999</v>
      </c>
      <c r="K24" s="14">
        <f t="shared" si="4"/>
        <v>6.7350746268656725E-2</v>
      </c>
      <c r="L24" s="14">
        <f t="shared" si="5"/>
        <v>0.23572761194029851</v>
      </c>
      <c r="M24" s="14">
        <f t="shared" si="6"/>
        <v>0.35695895522388049</v>
      </c>
      <c r="N24" s="14">
        <f t="shared" si="7"/>
        <v>0.32328358208955221</v>
      </c>
      <c r="O24" s="14">
        <f t="shared" si="8"/>
        <v>0.37716417910447753</v>
      </c>
      <c r="P24" s="14">
        <f t="shared" si="9"/>
        <v>0.37716417910447753</v>
      </c>
      <c r="Q24" s="14">
        <f t="shared" si="9"/>
        <v>0.40410447761194029</v>
      </c>
    </row>
    <row r="25" spans="1:18" x14ac:dyDescent="0.4">
      <c r="A25" s="2">
        <v>75</v>
      </c>
      <c r="B25" s="16">
        <f t="shared" si="11"/>
        <v>4.2868750000000002</v>
      </c>
      <c r="C25" s="16">
        <f t="shared" si="10"/>
        <v>8.5737500000000004</v>
      </c>
      <c r="D25" s="16">
        <f t="shared" si="10"/>
        <v>15.004062499999998</v>
      </c>
      <c r="E25" s="16">
        <f t="shared" si="10"/>
        <v>20.576999999999995</v>
      </c>
      <c r="F25" s="16">
        <f t="shared" si="10"/>
        <v>22.720437499999992</v>
      </c>
      <c r="G25" s="16">
        <f t="shared" si="10"/>
        <v>24.006499999999996</v>
      </c>
      <c r="H25" s="16">
        <f t="shared" si="10"/>
        <v>25.721249999999998</v>
      </c>
      <c r="K25" s="14">
        <f t="shared" si="4"/>
        <v>5.7158333333333339E-2</v>
      </c>
      <c r="L25" s="14">
        <f t="shared" si="5"/>
        <v>0.20005416666666664</v>
      </c>
      <c r="M25" s="14">
        <f t="shared" si="6"/>
        <v>0.30293916666666654</v>
      </c>
      <c r="N25" s="14">
        <f t="shared" si="7"/>
        <v>0.27435999999999994</v>
      </c>
      <c r="O25" s="14">
        <f t="shared" si="8"/>
        <v>0.32008666666666663</v>
      </c>
      <c r="P25" s="14">
        <f t="shared" si="9"/>
        <v>0.32008666666666663</v>
      </c>
      <c r="Q25" s="14">
        <f t="shared" si="9"/>
        <v>0.34294999999999998</v>
      </c>
    </row>
    <row r="26" spans="1:18" x14ac:dyDescent="0.4">
      <c r="A26" s="2">
        <v>82</v>
      </c>
      <c r="B26" s="16">
        <f t="shared" si="11"/>
        <v>4.0725312499999999</v>
      </c>
      <c r="C26" s="16">
        <f t="shared" si="10"/>
        <v>8.1450624999999999</v>
      </c>
      <c r="D26" s="16">
        <f t="shared" si="10"/>
        <v>14.253859374999998</v>
      </c>
      <c r="E26" s="16">
        <f t="shared" si="10"/>
        <v>19.548149999999993</v>
      </c>
      <c r="F26" s="16">
        <f t="shared" si="10"/>
        <v>21.584415624999991</v>
      </c>
      <c r="G26" s="16">
        <f t="shared" si="10"/>
        <v>22.806174999999996</v>
      </c>
      <c r="H26" s="16">
        <f t="shared" si="10"/>
        <v>24.435187499999998</v>
      </c>
      <c r="K26" s="14">
        <f t="shared" si="4"/>
        <v>4.966501524390244E-2</v>
      </c>
      <c r="L26" s="14">
        <f t="shared" si="5"/>
        <v>0.17382755335365851</v>
      </c>
      <c r="M26" s="14">
        <f t="shared" si="6"/>
        <v>0.26322458079268279</v>
      </c>
      <c r="N26" s="14">
        <f t="shared" si="7"/>
        <v>0.23839207317073161</v>
      </c>
      <c r="O26" s="14">
        <f t="shared" si="8"/>
        <v>0.27812408536585359</v>
      </c>
      <c r="P26" s="14">
        <f t="shared" si="9"/>
        <v>0.27812408536585359</v>
      </c>
      <c r="Q26" s="14">
        <f t="shared" si="9"/>
        <v>0.2979900914634146</v>
      </c>
    </row>
    <row r="27" spans="1:18" x14ac:dyDescent="0.4">
      <c r="A27" s="2">
        <v>90</v>
      </c>
      <c r="B27" s="16">
        <f t="shared" si="11"/>
        <v>3.8689046874999997</v>
      </c>
      <c r="C27" s="16">
        <f t="shared" si="10"/>
        <v>7.7378093749999994</v>
      </c>
      <c r="D27" s="16">
        <f t="shared" si="10"/>
        <v>13.541166406249998</v>
      </c>
      <c r="E27" s="16">
        <f t="shared" si="10"/>
        <v>18.570742499999991</v>
      </c>
      <c r="F27" s="16">
        <f t="shared" si="10"/>
        <v>20.50519484374999</v>
      </c>
      <c r="G27" s="16">
        <f t="shared" si="10"/>
        <v>21.665866249999997</v>
      </c>
      <c r="H27" s="16">
        <f t="shared" si="10"/>
        <v>23.213428124999997</v>
      </c>
      <c r="K27" s="14">
        <f t="shared" si="4"/>
        <v>4.2987829861111111E-2</v>
      </c>
      <c r="L27" s="14">
        <f t="shared" si="5"/>
        <v>0.15045740451388886</v>
      </c>
      <c r="M27" s="14">
        <f t="shared" si="6"/>
        <v>0.22783549826388877</v>
      </c>
      <c r="N27" s="14">
        <f t="shared" si="7"/>
        <v>0.20634158333333324</v>
      </c>
      <c r="O27" s="14">
        <f t="shared" si="8"/>
        <v>0.24073184722222218</v>
      </c>
      <c r="P27" s="14">
        <f t="shared" si="9"/>
        <v>0.24073184722222218</v>
      </c>
      <c r="Q27" s="14">
        <f t="shared" si="9"/>
        <v>0.25792697916666663</v>
      </c>
    </row>
    <row r="28" spans="1:18" x14ac:dyDescent="0.4">
      <c r="A28" s="4"/>
      <c r="B28" s="16"/>
      <c r="C28" s="16"/>
      <c r="D28" s="16"/>
      <c r="E28" s="16"/>
      <c r="F28" s="16"/>
      <c r="G28" s="16"/>
      <c r="H28" s="16"/>
      <c r="I28" s="5"/>
    </row>
    <row r="29" spans="1:18" x14ac:dyDescent="0.4">
      <c r="A29" s="4"/>
      <c r="B29" s="16"/>
      <c r="C29" s="16"/>
      <c r="D29" s="16"/>
      <c r="E29" s="16"/>
      <c r="F29" s="16"/>
      <c r="G29" s="16"/>
      <c r="H29" s="16"/>
      <c r="I29" s="5"/>
    </row>
  </sheetData>
  <mergeCells count="6">
    <mergeCell ref="A1:Q1"/>
    <mergeCell ref="A3:H3"/>
    <mergeCell ref="K3:R3"/>
    <mergeCell ref="A17:H17"/>
    <mergeCell ref="K17:R17"/>
    <mergeCell ref="A2:H2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opLeftCell="A2" zoomScale="94" zoomScaleNormal="94" workbookViewId="0">
      <selection activeCell="J19" sqref="J19"/>
    </sheetView>
  </sheetViews>
  <sheetFormatPr defaultRowHeight="17.399999999999999" x14ac:dyDescent="0.4"/>
  <sheetData>
    <row r="1" spans="1:18" ht="25.2" x14ac:dyDescent="0.4">
      <c r="A1" s="29" t="s">
        <v>150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14"/>
    </row>
    <row r="2" spans="1:18" s="14" customFormat="1" ht="25.2" x14ac:dyDescent="0.4">
      <c r="A2" s="30" t="s">
        <v>152</v>
      </c>
      <c r="B2" s="30"/>
      <c r="C2" s="30"/>
      <c r="D2" s="30"/>
      <c r="E2" s="30"/>
      <c r="F2" s="30"/>
      <c r="G2" s="30"/>
      <c r="H2" s="30"/>
      <c r="I2" s="24"/>
      <c r="J2" s="24"/>
      <c r="K2" s="24"/>
      <c r="L2" s="24"/>
      <c r="M2" s="24"/>
      <c r="N2" s="24"/>
      <c r="O2" s="24"/>
      <c r="P2" s="24"/>
      <c r="Q2" s="24"/>
    </row>
    <row r="3" spans="1:18" ht="25.2" x14ac:dyDescent="0.4">
      <c r="A3" s="25" t="s">
        <v>118</v>
      </c>
      <c r="B3" s="26"/>
      <c r="C3" s="26"/>
      <c r="D3" s="26"/>
      <c r="E3" s="26"/>
      <c r="F3" s="26"/>
      <c r="G3" s="26"/>
      <c r="H3" s="26"/>
      <c r="I3" s="14" t="s">
        <v>122</v>
      </c>
      <c r="J3" s="14"/>
      <c r="K3" s="25" t="s">
        <v>119</v>
      </c>
      <c r="L3" s="26"/>
      <c r="M3" s="26"/>
      <c r="N3" s="26"/>
      <c r="O3" s="26"/>
      <c r="P3" s="26"/>
      <c r="Q3" s="26"/>
      <c r="R3" s="26"/>
    </row>
    <row r="4" spans="1:18" x14ac:dyDescent="0.4">
      <c r="A4" s="1" t="s">
        <v>29</v>
      </c>
      <c r="B4" s="14" t="s">
        <v>8</v>
      </c>
      <c r="C4" s="14" t="s">
        <v>9</v>
      </c>
      <c r="D4" s="14" t="s">
        <v>10</v>
      </c>
      <c r="E4" s="14" t="s">
        <v>11</v>
      </c>
      <c r="F4" s="14" t="s">
        <v>31</v>
      </c>
      <c r="G4" s="14" t="s">
        <v>13</v>
      </c>
      <c r="H4" s="14" t="s">
        <v>33</v>
      </c>
      <c r="J4" s="14"/>
      <c r="K4" s="14" t="s">
        <v>8</v>
      </c>
      <c r="L4" s="14" t="s">
        <v>9</v>
      </c>
      <c r="M4" s="14" t="s">
        <v>10</v>
      </c>
      <c r="N4" s="14" t="s">
        <v>11</v>
      </c>
      <c r="O4" s="14" t="s">
        <v>31</v>
      </c>
      <c r="P4" s="14" t="s">
        <v>13</v>
      </c>
      <c r="Q4" s="14" t="s">
        <v>33</v>
      </c>
      <c r="R4" s="14"/>
    </row>
    <row r="5" spans="1:18" x14ac:dyDescent="0.4">
      <c r="A5" s="3">
        <v>55</v>
      </c>
      <c r="B5" s="16">
        <f t="shared" ref="B5:H7" si="0">B6*0.95</f>
        <v>25.721249999999998</v>
      </c>
      <c r="C5" s="16">
        <f t="shared" si="0"/>
        <v>42.868749999999999</v>
      </c>
      <c r="D5" s="16">
        <f t="shared" si="0"/>
        <v>60.016249999999992</v>
      </c>
      <c r="E5" s="16">
        <f t="shared" si="0"/>
        <v>77.163749999999993</v>
      </c>
      <c r="F5" s="16">
        <f t="shared" si="0"/>
        <v>102.88499999999999</v>
      </c>
      <c r="G5" s="16">
        <f t="shared" si="0"/>
        <v>128.60624999999999</v>
      </c>
      <c r="H5" s="16">
        <f t="shared" si="0"/>
        <v>154.32749999999999</v>
      </c>
      <c r="I5" s="14"/>
      <c r="J5" s="14"/>
      <c r="K5" s="14">
        <f t="shared" ref="K5:Q15" si="1">B5/$A5</f>
        <v>0.46765909090909086</v>
      </c>
      <c r="L5" s="14">
        <f t="shared" si="1"/>
        <v>0.77943181818181817</v>
      </c>
      <c r="M5" s="14">
        <f t="shared" si="1"/>
        <v>1.0912045454545454</v>
      </c>
      <c r="N5" s="14">
        <f t="shared" si="1"/>
        <v>1.4029772727272727</v>
      </c>
      <c r="O5" s="14">
        <f t="shared" si="1"/>
        <v>1.8706363636363634</v>
      </c>
      <c r="P5" s="14">
        <f t="shared" si="1"/>
        <v>2.3382954545454542</v>
      </c>
      <c r="Q5" s="14">
        <f t="shared" si="1"/>
        <v>2.8059545454545454</v>
      </c>
      <c r="R5" s="14"/>
    </row>
    <row r="6" spans="1:18" x14ac:dyDescent="0.4">
      <c r="A6" s="3">
        <v>60</v>
      </c>
      <c r="B6" s="16">
        <f t="shared" si="0"/>
        <v>27.074999999999999</v>
      </c>
      <c r="C6" s="16">
        <f t="shared" si="0"/>
        <v>45.125</v>
      </c>
      <c r="D6" s="16">
        <f t="shared" si="0"/>
        <v>63.174999999999997</v>
      </c>
      <c r="E6" s="16">
        <f t="shared" si="0"/>
        <v>81.224999999999994</v>
      </c>
      <c r="F6" s="16">
        <f t="shared" si="0"/>
        <v>108.3</v>
      </c>
      <c r="G6" s="16">
        <f t="shared" si="0"/>
        <v>135.375</v>
      </c>
      <c r="H6" s="16">
        <f t="shared" si="0"/>
        <v>162.44999999999999</v>
      </c>
      <c r="I6" s="14"/>
      <c r="J6" s="14"/>
      <c r="K6" s="14">
        <f t="shared" si="1"/>
        <v>0.45124999999999998</v>
      </c>
      <c r="L6" s="14">
        <f t="shared" si="1"/>
        <v>0.75208333333333333</v>
      </c>
      <c r="M6" s="14">
        <f t="shared" si="1"/>
        <v>1.0529166666666667</v>
      </c>
      <c r="N6" s="14">
        <f t="shared" si="1"/>
        <v>1.35375</v>
      </c>
      <c r="O6" s="14">
        <f t="shared" si="1"/>
        <v>1.8049999999999999</v>
      </c>
      <c r="P6" s="14">
        <f t="shared" si="1"/>
        <v>2.2562500000000001</v>
      </c>
      <c r="Q6" s="14">
        <f t="shared" si="1"/>
        <v>2.7075</v>
      </c>
      <c r="R6" s="14"/>
    </row>
    <row r="7" spans="1:18" x14ac:dyDescent="0.4">
      <c r="A7" s="3">
        <v>65</v>
      </c>
      <c r="B7" s="16">
        <f>B8*0.95</f>
        <v>28.5</v>
      </c>
      <c r="C7" s="16">
        <f t="shared" si="0"/>
        <v>47.5</v>
      </c>
      <c r="D7" s="16">
        <f t="shared" si="0"/>
        <v>66.5</v>
      </c>
      <c r="E7" s="16">
        <f t="shared" si="0"/>
        <v>85.5</v>
      </c>
      <c r="F7" s="16">
        <f t="shared" si="0"/>
        <v>114</v>
      </c>
      <c r="G7" s="16">
        <f t="shared" si="0"/>
        <v>142.5</v>
      </c>
      <c r="H7" s="16">
        <f t="shared" si="0"/>
        <v>171</v>
      </c>
      <c r="I7" s="14"/>
      <c r="J7" s="14"/>
      <c r="K7" s="14">
        <f t="shared" si="1"/>
        <v>0.43846153846153846</v>
      </c>
      <c r="L7" s="14">
        <f t="shared" si="1"/>
        <v>0.73076923076923073</v>
      </c>
      <c r="M7" s="14">
        <f t="shared" si="1"/>
        <v>1.023076923076923</v>
      </c>
      <c r="N7" s="14">
        <f t="shared" si="1"/>
        <v>1.3153846153846154</v>
      </c>
      <c r="O7" s="14">
        <f t="shared" si="1"/>
        <v>1.7538461538461538</v>
      </c>
      <c r="P7" s="14">
        <f t="shared" si="1"/>
        <v>2.1923076923076925</v>
      </c>
      <c r="Q7" s="14">
        <f t="shared" si="1"/>
        <v>2.6307692307692307</v>
      </c>
      <c r="R7" s="14"/>
    </row>
    <row r="8" spans="1:18" x14ac:dyDescent="0.4">
      <c r="A8" s="3">
        <v>70</v>
      </c>
      <c r="B8" s="19">
        <v>30</v>
      </c>
      <c r="C8" s="19">
        <v>50</v>
      </c>
      <c r="D8" s="19">
        <v>70</v>
      </c>
      <c r="E8" s="19">
        <v>90</v>
      </c>
      <c r="F8" s="20">
        <v>120</v>
      </c>
      <c r="G8" s="19">
        <v>150</v>
      </c>
      <c r="H8" s="19">
        <v>180</v>
      </c>
      <c r="I8" s="14"/>
      <c r="J8" s="14"/>
      <c r="K8" s="14">
        <f t="shared" si="1"/>
        <v>0.42857142857142855</v>
      </c>
      <c r="L8" s="14">
        <f t="shared" si="1"/>
        <v>0.7142857142857143</v>
      </c>
      <c r="M8" s="14">
        <f t="shared" si="1"/>
        <v>1</v>
      </c>
      <c r="N8" s="14">
        <f t="shared" si="1"/>
        <v>1.2857142857142858</v>
      </c>
      <c r="O8" s="14">
        <f t="shared" si="1"/>
        <v>1.7142857142857142</v>
      </c>
      <c r="P8" s="14">
        <f t="shared" si="1"/>
        <v>2.1428571428571428</v>
      </c>
      <c r="Q8" s="14">
        <f t="shared" si="1"/>
        <v>2.5714285714285716</v>
      </c>
      <c r="R8" s="14"/>
    </row>
    <row r="9" spans="1:18" x14ac:dyDescent="0.4">
      <c r="A9" s="3">
        <v>75</v>
      </c>
      <c r="B9" s="18">
        <f>B8*0.95</f>
        <v>28.5</v>
      </c>
      <c r="C9" s="18">
        <f t="shared" ref="C9:H15" si="2">C8*0.95</f>
        <v>47.5</v>
      </c>
      <c r="D9" s="18">
        <f t="shared" si="2"/>
        <v>66.5</v>
      </c>
      <c r="E9" s="18">
        <f t="shared" si="2"/>
        <v>85.5</v>
      </c>
      <c r="F9" s="18">
        <f t="shared" si="2"/>
        <v>114</v>
      </c>
      <c r="G9" s="18">
        <f t="shared" si="2"/>
        <v>142.5</v>
      </c>
      <c r="H9" s="18">
        <f t="shared" si="2"/>
        <v>171</v>
      </c>
      <c r="I9" s="14"/>
      <c r="J9" s="14"/>
      <c r="K9" s="14">
        <f t="shared" si="1"/>
        <v>0.38</v>
      </c>
      <c r="L9" s="14">
        <f t="shared" si="1"/>
        <v>0.6333333333333333</v>
      </c>
      <c r="M9" s="14">
        <f t="shared" si="1"/>
        <v>0.88666666666666671</v>
      </c>
      <c r="N9" s="14">
        <f t="shared" si="1"/>
        <v>1.1399999999999999</v>
      </c>
      <c r="O9" s="14">
        <f t="shared" si="1"/>
        <v>1.52</v>
      </c>
      <c r="P9" s="14">
        <f t="shared" si="1"/>
        <v>1.9</v>
      </c>
      <c r="Q9" s="14">
        <f t="shared" si="1"/>
        <v>2.2799999999999998</v>
      </c>
      <c r="R9" s="14"/>
    </row>
    <row r="10" spans="1:18" x14ac:dyDescent="0.4">
      <c r="A10" s="3">
        <v>82</v>
      </c>
      <c r="B10" s="18">
        <f t="shared" ref="B10:B15" si="3">B9*0.95</f>
        <v>27.074999999999999</v>
      </c>
      <c r="C10" s="18">
        <f t="shared" si="2"/>
        <v>45.125</v>
      </c>
      <c r="D10" s="18">
        <f t="shared" si="2"/>
        <v>63.174999999999997</v>
      </c>
      <c r="E10" s="18">
        <f t="shared" si="2"/>
        <v>81.224999999999994</v>
      </c>
      <c r="F10" s="18">
        <f t="shared" si="2"/>
        <v>108.3</v>
      </c>
      <c r="G10" s="18">
        <f t="shared" si="2"/>
        <v>135.375</v>
      </c>
      <c r="H10" s="18">
        <f t="shared" si="2"/>
        <v>162.44999999999999</v>
      </c>
      <c r="I10" s="14"/>
      <c r="J10" s="14"/>
      <c r="K10" s="14">
        <f t="shared" si="1"/>
        <v>0.33018292682926831</v>
      </c>
      <c r="L10" s="14">
        <f t="shared" si="1"/>
        <v>0.55030487804878048</v>
      </c>
      <c r="M10" s="14">
        <f t="shared" si="1"/>
        <v>0.77042682926829265</v>
      </c>
      <c r="N10" s="14">
        <f t="shared" si="1"/>
        <v>0.99054878048780481</v>
      </c>
      <c r="O10" s="14">
        <f t="shared" si="1"/>
        <v>1.3207317073170732</v>
      </c>
      <c r="P10" s="14">
        <f t="shared" si="1"/>
        <v>1.6509146341463414</v>
      </c>
      <c r="Q10" s="14">
        <f t="shared" si="1"/>
        <v>1.9810975609756096</v>
      </c>
      <c r="R10" s="14"/>
    </row>
    <row r="11" spans="1:18" x14ac:dyDescent="0.4">
      <c r="A11" s="3">
        <v>90</v>
      </c>
      <c r="B11" s="18">
        <f t="shared" si="3"/>
        <v>25.721249999999998</v>
      </c>
      <c r="C11" s="18">
        <f t="shared" si="2"/>
        <v>42.868749999999999</v>
      </c>
      <c r="D11" s="18">
        <f t="shared" si="2"/>
        <v>60.016249999999992</v>
      </c>
      <c r="E11" s="18">
        <f t="shared" si="2"/>
        <v>77.163749999999993</v>
      </c>
      <c r="F11" s="18">
        <f t="shared" si="2"/>
        <v>102.88499999999999</v>
      </c>
      <c r="G11" s="18">
        <f t="shared" si="2"/>
        <v>128.60624999999999</v>
      </c>
      <c r="H11" s="18">
        <f t="shared" si="2"/>
        <v>154.32749999999999</v>
      </c>
      <c r="I11" s="14"/>
      <c r="J11" s="14"/>
      <c r="K11" s="14">
        <f t="shared" si="1"/>
        <v>0.28579166666666667</v>
      </c>
      <c r="L11" s="14">
        <f t="shared" si="1"/>
        <v>0.47631944444444441</v>
      </c>
      <c r="M11" s="14">
        <f t="shared" si="1"/>
        <v>0.66684722222222215</v>
      </c>
      <c r="N11" s="14">
        <f t="shared" si="1"/>
        <v>0.85737499999999989</v>
      </c>
      <c r="O11" s="14">
        <f t="shared" si="1"/>
        <v>1.1431666666666667</v>
      </c>
      <c r="P11" s="14">
        <f t="shared" si="1"/>
        <v>1.4289583333333331</v>
      </c>
      <c r="Q11" s="14">
        <f t="shared" si="1"/>
        <v>1.7147499999999998</v>
      </c>
      <c r="R11" s="14"/>
    </row>
    <row r="12" spans="1:18" x14ac:dyDescent="0.4">
      <c r="A12" s="3">
        <v>100</v>
      </c>
      <c r="B12" s="18">
        <f t="shared" si="3"/>
        <v>24.435187499999998</v>
      </c>
      <c r="C12" s="18">
        <f t="shared" si="2"/>
        <v>40.725312499999994</v>
      </c>
      <c r="D12" s="18">
        <f t="shared" si="2"/>
        <v>57.01543749999999</v>
      </c>
      <c r="E12" s="18">
        <f t="shared" si="2"/>
        <v>73.305562499999994</v>
      </c>
      <c r="F12" s="18">
        <f t="shared" si="2"/>
        <v>97.740749999999991</v>
      </c>
      <c r="G12" s="18">
        <f t="shared" si="2"/>
        <v>122.17593749999999</v>
      </c>
      <c r="H12" s="18">
        <f t="shared" si="2"/>
        <v>146.61112499999999</v>
      </c>
      <c r="I12" s="14"/>
      <c r="J12" s="14"/>
      <c r="K12" s="14">
        <f t="shared" si="1"/>
        <v>0.24435187499999997</v>
      </c>
      <c r="L12" s="14">
        <f t="shared" si="1"/>
        <v>0.40725312499999994</v>
      </c>
      <c r="M12" s="14">
        <f t="shared" si="1"/>
        <v>0.57015437499999988</v>
      </c>
      <c r="N12" s="14">
        <f t="shared" si="1"/>
        <v>0.73305562499999999</v>
      </c>
      <c r="O12" s="14">
        <f t="shared" si="1"/>
        <v>0.97740749999999987</v>
      </c>
      <c r="P12" s="14">
        <f t="shared" si="1"/>
        <v>1.221759375</v>
      </c>
      <c r="Q12" s="14">
        <f t="shared" si="1"/>
        <v>1.46611125</v>
      </c>
      <c r="R12" s="14"/>
    </row>
    <row r="13" spans="1:18" x14ac:dyDescent="0.4">
      <c r="A13" s="3">
        <v>110</v>
      </c>
      <c r="B13" s="18">
        <f t="shared" si="3"/>
        <v>23.213428124999997</v>
      </c>
      <c r="C13" s="18">
        <f t="shared" si="2"/>
        <v>38.689046874999995</v>
      </c>
      <c r="D13" s="18">
        <f t="shared" si="2"/>
        <v>54.164665624999991</v>
      </c>
      <c r="E13" s="18">
        <f t="shared" si="2"/>
        <v>69.640284374999993</v>
      </c>
      <c r="F13" s="18">
        <f t="shared" si="2"/>
        <v>92.853712499999986</v>
      </c>
      <c r="G13" s="18">
        <f t="shared" si="2"/>
        <v>116.06714062499998</v>
      </c>
      <c r="H13" s="18">
        <f t="shared" si="2"/>
        <v>139.28056874999999</v>
      </c>
      <c r="I13" s="14"/>
      <c r="J13" s="14"/>
      <c r="K13" s="14">
        <f t="shared" si="1"/>
        <v>0.21103116477272724</v>
      </c>
      <c r="L13" s="14">
        <f t="shared" si="1"/>
        <v>0.3517186079545454</v>
      </c>
      <c r="M13" s="14">
        <f t="shared" si="1"/>
        <v>0.49240605113636354</v>
      </c>
      <c r="N13" s="14">
        <f t="shared" si="1"/>
        <v>0.63309349431818174</v>
      </c>
      <c r="O13" s="14">
        <f t="shared" si="1"/>
        <v>0.84412465909090895</v>
      </c>
      <c r="P13" s="14">
        <f t="shared" si="1"/>
        <v>1.0551558238636363</v>
      </c>
      <c r="Q13" s="14">
        <f t="shared" si="1"/>
        <v>1.2661869886363635</v>
      </c>
      <c r="R13" s="14"/>
    </row>
    <row r="14" spans="1:18" x14ac:dyDescent="0.4">
      <c r="A14" s="3">
        <v>120</v>
      </c>
      <c r="B14" s="18">
        <f t="shared" si="3"/>
        <v>22.052756718749997</v>
      </c>
      <c r="C14" s="18">
        <f t="shared" si="2"/>
        <v>36.754594531249992</v>
      </c>
      <c r="D14" s="18">
        <f t="shared" si="2"/>
        <v>51.456432343749988</v>
      </c>
      <c r="E14" s="18">
        <f t="shared" si="2"/>
        <v>66.158270156249984</v>
      </c>
      <c r="F14" s="18">
        <f t="shared" si="2"/>
        <v>88.211026874999988</v>
      </c>
      <c r="G14" s="18">
        <f t="shared" si="2"/>
        <v>110.26378359374998</v>
      </c>
      <c r="H14" s="18">
        <f t="shared" si="2"/>
        <v>132.31654031249997</v>
      </c>
      <c r="I14" s="14"/>
      <c r="J14" s="14"/>
      <c r="K14" s="14">
        <f t="shared" si="1"/>
        <v>0.18377297265624998</v>
      </c>
      <c r="L14" s="14">
        <f t="shared" si="1"/>
        <v>0.30628828776041661</v>
      </c>
      <c r="M14" s="14">
        <f t="shared" si="1"/>
        <v>0.42880360286458324</v>
      </c>
      <c r="N14" s="14">
        <f t="shared" si="1"/>
        <v>0.55131891796874988</v>
      </c>
      <c r="O14" s="14">
        <f t="shared" si="1"/>
        <v>0.73509189062499991</v>
      </c>
      <c r="P14" s="14">
        <f t="shared" si="1"/>
        <v>0.91886486328124983</v>
      </c>
      <c r="Q14" s="14">
        <f t="shared" si="1"/>
        <v>1.1026378359374998</v>
      </c>
      <c r="R14" s="14"/>
    </row>
    <row r="15" spans="1:18" x14ac:dyDescent="0.4">
      <c r="A15" s="3">
        <v>130</v>
      </c>
      <c r="B15" s="18">
        <f t="shared" si="3"/>
        <v>20.950118882812497</v>
      </c>
      <c r="C15" s="18">
        <f t="shared" si="2"/>
        <v>34.916864804687492</v>
      </c>
      <c r="D15" s="18">
        <f t="shared" si="2"/>
        <v>48.883610726562488</v>
      </c>
      <c r="E15" s="18">
        <f t="shared" si="2"/>
        <v>62.850356648437483</v>
      </c>
      <c r="F15" s="18">
        <f t="shared" si="2"/>
        <v>83.800475531249987</v>
      </c>
      <c r="G15" s="18">
        <f t="shared" si="2"/>
        <v>104.75059441406248</v>
      </c>
      <c r="H15" s="18">
        <f t="shared" si="2"/>
        <v>125.70071329687497</v>
      </c>
      <c r="I15" s="14"/>
      <c r="J15" s="14"/>
      <c r="K15" s="14">
        <f t="shared" si="1"/>
        <v>0.1611547606370192</v>
      </c>
      <c r="L15" s="14">
        <f t="shared" si="1"/>
        <v>0.26859126772836533</v>
      </c>
      <c r="M15" s="14">
        <f t="shared" si="1"/>
        <v>0.37602777481971145</v>
      </c>
      <c r="N15" s="14">
        <f t="shared" si="1"/>
        <v>0.48346428191105756</v>
      </c>
      <c r="O15" s="14">
        <f t="shared" si="1"/>
        <v>0.64461904254807678</v>
      </c>
      <c r="P15" s="14">
        <f t="shared" si="1"/>
        <v>0.80577380318509595</v>
      </c>
      <c r="Q15" s="14">
        <f t="shared" si="1"/>
        <v>0.96692856382211512</v>
      </c>
      <c r="R15" s="14"/>
    </row>
    <row r="16" spans="1:18" x14ac:dyDescent="0.4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27.6" x14ac:dyDescent="0.4">
      <c r="A17" s="25" t="s">
        <v>120</v>
      </c>
      <c r="B17" s="26"/>
      <c r="C17" s="26"/>
      <c r="D17" s="26"/>
      <c r="E17" s="26"/>
      <c r="F17" s="26"/>
      <c r="G17" s="26"/>
      <c r="H17" s="26"/>
      <c r="I17" s="14"/>
      <c r="J17" s="14"/>
      <c r="K17" s="27" t="s">
        <v>121</v>
      </c>
      <c r="L17" s="28"/>
      <c r="M17" s="28"/>
      <c r="N17" s="28"/>
      <c r="O17" s="28"/>
      <c r="P17" s="28"/>
      <c r="Q17" s="28"/>
      <c r="R17" s="28"/>
    </row>
    <row r="18" spans="1:18" x14ac:dyDescent="0.4">
      <c r="A18" s="1" t="s">
        <v>29</v>
      </c>
      <c r="B18" s="14" t="s">
        <v>8</v>
      </c>
      <c r="C18" s="14" t="s">
        <v>9</v>
      </c>
      <c r="D18" s="14" t="s">
        <v>10</v>
      </c>
      <c r="E18" s="14" t="s">
        <v>11</v>
      </c>
      <c r="F18" s="14" t="s">
        <v>31</v>
      </c>
      <c r="G18" s="14" t="s">
        <v>13</v>
      </c>
      <c r="H18" s="14" t="s">
        <v>33</v>
      </c>
      <c r="I18" s="14"/>
      <c r="J18" s="14"/>
      <c r="K18" s="14" t="s">
        <v>8</v>
      </c>
      <c r="L18" s="14" t="s">
        <v>9</v>
      </c>
      <c r="M18" s="14" t="s">
        <v>10</v>
      </c>
      <c r="N18" s="14" t="s">
        <v>11</v>
      </c>
      <c r="O18" s="14" t="s">
        <v>31</v>
      </c>
      <c r="P18" s="14" t="s">
        <v>13</v>
      </c>
      <c r="Q18" s="14" t="s">
        <v>33</v>
      </c>
      <c r="R18" s="14"/>
    </row>
    <row r="19" spans="1:18" x14ac:dyDescent="0.4">
      <c r="A19" s="2">
        <v>44</v>
      </c>
      <c r="B19" s="16">
        <f>B5/2</f>
        <v>12.860624999999999</v>
      </c>
      <c r="C19" s="16">
        <f>C5/2</f>
        <v>21.434374999999999</v>
      </c>
      <c r="D19" s="16">
        <f>D5/2</f>
        <v>30.008124999999996</v>
      </c>
      <c r="E19" s="16">
        <f>E5/2</f>
        <v>38.581874999999997</v>
      </c>
      <c r="F19" s="16">
        <f>F5/2</f>
        <v>51.442499999999995</v>
      </c>
      <c r="G19" s="16">
        <f>G5/2</f>
        <v>64.303124999999994</v>
      </c>
      <c r="H19" s="16">
        <f>H5/2</f>
        <v>77.163749999999993</v>
      </c>
      <c r="I19" s="14"/>
      <c r="J19" s="14"/>
      <c r="K19" s="14">
        <f>B19/$A19</f>
        <v>0.29228693181818177</v>
      </c>
      <c r="L19" s="14">
        <f>D19/$A19</f>
        <v>0.6820028409090908</v>
      </c>
      <c r="M19" s="14">
        <f>F19/$A19</f>
        <v>1.1691477272727271</v>
      </c>
      <c r="N19" s="14">
        <f>E19/$A19</f>
        <v>0.87686079545454543</v>
      </c>
      <c r="O19" s="14">
        <f>G19/$A19</f>
        <v>1.4614346590909089</v>
      </c>
      <c r="P19" s="14">
        <f>G19/$A19</f>
        <v>1.4614346590909089</v>
      </c>
      <c r="Q19" s="14">
        <f>H19/$A19</f>
        <v>1.7537215909090909</v>
      </c>
      <c r="R19" s="14"/>
    </row>
    <row r="20" spans="1:18" x14ac:dyDescent="0.4">
      <c r="A20" s="2">
        <v>48</v>
      </c>
      <c r="B20" s="16">
        <f>B6/2</f>
        <v>13.5375</v>
      </c>
      <c r="C20" s="16">
        <f>C6/2</f>
        <v>22.5625</v>
      </c>
      <c r="D20" s="16">
        <f>D6/2</f>
        <v>31.587499999999999</v>
      </c>
      <c r="E20" s="16">
        <f>E6/2</f>
        <v>40.612499999999997</v>
      </c>
      <c r="F20" s="16">
        <f>F6/2</f>
        <v>54.15</v>
      </c>
      <c r="G20" s="16">
        <f>G6/2</f>
        <v>67.6875</v>
      </c>
      <c r="H20" s="16">
        <f>H6/2</f>
        <v>81.224999999999994</v>
      </c>
      <c r="I20" s="14"/>
      <c r="J20" s="14"/>
      <c r="K20" s="14">
        <f t="shared" ref="K20:K27" si="4">B20/$A20</f>
        <v>0.28203125000000001</v>
      </c>
      <c r="L20" s="14">
        <f t="shared" ref="L20:L27" si="5">D20/$A20</f>
        <v>0.65807291666666667</v>
      </c>
      <c r="M20" s="14">
        <f t="shared" ref="M20:M27" si="6">F20/$A20</f>
        <v>1.128125</v>
      </c>
      <c r="N20" s="14">
        <f t="shared" ref="N20:N27" si="7">E20/$A20</f>
        <v>0.84609374999999998</v>
      </c>
      <c r="O20" s="14">
        <f t="shared" ref="O20:O27" si="8">G20/$A20</f>
        <v>1.41015625</v>
      </c>
      <c r="P20" s="14">
        <f t="shared" ref="P20:Q27" si="9">G20/$A20</f>
        <v>1.41015625</v>
      </c>
      <c r="Q20" s="14">
        <f t="shared" si="9"/>
        <v>1.6921875</v>
      </c>
      <c r="R20" s="14"/>
    </row>
    <row r="21" spans="1:18" x14ac:dyDescent="0.4">
      <c r="A21" s="2">
        <v>52</v>
      </c>
      <c r="B21" s="16">
        <f>B7/2</f>
        <v>14.25</v>
      </c>
      <c r="C21" s="16">
        <f>C7/2</f>
        <v>23.75</v>
      </c>
      <c r="D21" s="16">
        <f>D7/2</f>
        <v>33.25</v>
      </c>
      <c r="E21" s="16">
        <f>E7/2</f>
        <v>42.75</v>
      </c>
      <c r="F21" s="16">
        <f>F7/2</f>
        <v>57</v>
      </c>
      <c r="G21" s="16">
        <f>G7/2</f>
        <v>71.25</v>
      </c>
      <c r="H21" s="16">
        <f>H7/2</f>
        <v>85.5</v>
      </c>
      <c r="I21" s="14"/>
      <c r="J21" s="14"/>
      <c r="K21" s="14">
        <f t="shared" si="4"/>
        <v>0.27403846153846156</v>
      </c>
      <c r="L21" s="14">
        <f t="shared" si="5"/>
        <v>0.63942307692307687</v>
      </c>
      <c r="M21" s="14">
        <f t="shared" si="6"/>
        <v>1.0961538461538463</v>
      </c>
      <c r="N21" s="14">
        <f t="shared" si="7"/>
        <v>0.82211538461538458</v>
      </c>
      <c r="O21" s="14">
        <f t="shared" si="8"/>
        <v>1.3701923076923077</v>
      </c>
      <c r="P21" s="14">
        <f t="shared" si="9"/>
        <v>1.3701923076923077</v>
      </c>
      <c r="Q21" s="14">
        <f t="shared" si="9"/>
        <v>1.6442307692307692</v>
      </c>
      <c r="R21" s="14"/>
    </row>
    <row r="22" spans="1:18" x14ac:dyDescent="0.4">
      <c r="A22" s="2">
        <v>56</v>
      </c>
      <c r="B22" s="16">
        <f>B8/2</f>
        <v>15</v>
      </c>
      <c r="C22" s="16">
        <f>C8/2</f>
        <v>25</v>
      </c>
      <c r="D22" s="16">
        <f>D8/2</f>
        <v>35</v>
      </c>
      <c r="E22" s="16">
        <f>E8/2</f>
        <v>45</v>
      </c>
      <c r="F22" s="16">
        <f>F8/2</f>
        <v>60</v>
      </c>
      <c r="G22" s="16">
        <f>G8/2</f>
        <v>75</v>
      </c>
      <c r="H22" s="16">
        <f>H8/2</f>
        <v>90</v>
      </c>
      <c r="I22" s="14"/>
      <c r="J22" s="14"/>
      <c r="K22" s="14">
        <f t="shared" si="4"/>
        <v>0.26785714285714285</v>
      </c>
      <c r="L22" s="14">
        <f t="shared" si="5"/>
        <v>0.625</v>
      </c>
      <c r="M22" s="14">
        <f t="shared" si="6"/>
        <v>1.0714285714285714</v>
      </c>
      <c r="N22" s="14">
        <f t="shared" si="7"/>
        <v>0.8035714285714286</v>
      </c>
      <c r="O22" s="14">
        <f t="shared" si="8"/>
        <v>1.3392857142857142</v>
      </c>
      <c r="P22" s="14">
        <f t="shared" si="9"/>
        <v>1.3392857142857142</v>
      </c>
      <c r="Q22" s="14">
        <f t="shared" si="9"/>
        <v>1.6071428571428572</v>
      </c>
      <c r="R22" s="14"/>
    </row>
    <row r="23" spans="1:18" x14ac:dyDescent="0.4">
      <c r="A23" s="2">
        <v>60</v>
      </c>
      <c r="B23" s="16">
        <f>B22*0.95</f>
        <v>14.25</v>
      </c>
      <c r="C23" s="16">
        <f t="shared" ref="C23:H27" si="10">C22*0.95</f>
        <v>23.75</v>
      </c>
      <c r="D23" s="16">
        <f t="shared" si="10"/>
        <v>33.25</v>
      </c>
      <c r="E23" s="16">
        <f t="shared" si="10"/>
        <v>42.75</v>
      </c>
      <c r="F23" s="16">
        <f t="shared" si="10"/>
        <v>57</v>
      </c>
      <c r="G23" s="16">
        <f t="shared" si="10"/>
        <v>71.25</v>
      </c>
      <c r="H23" s="16">
        <f t="shared" si="10"/>
        <v>85.5</v>
      </c>
      <c r="I23" s="14"/>
      <c r="J23" s="14"/>
      <c r="K23" s="14">
        <f t="shared" si="4"/>
        <v>0.23749999999999999</v>
      </c>
      <c r="L23" s="14">
        <f t="shared" si="5"/>
        <v>0.5541666666666667</v>
      </c>
      <c r="M23" s="14">
        <f t="shared" si="6"/>
        <v>0.95</v>
      </c>
      <c r="N23" s="14">
        <f t="shared" si="7"/>
        <v>0.71250000000000002</v>
      </c>
      <c r="O23" s="14">
        <f t="shared" si="8"/>
        <v>1.1875</v>
      </c>
      <c r="P23" s="14">
        <f t="shared" si="9"/>
        <v>1.1875</v>
      </c>
      <c r="Q23" s="14">
        <f t="shared" si="9"/>
        <v>1.425</v>
      </c>
      <c r="R23" s="14"/>
    </row>
    <row r="24" spans="1:18" x14ac:dyDescent="0.4">
      <c r="A24" s="2">
        <v>67</v>
      </c>
      <c r="B24" s="16">
        <f t="shared" ref="B24:B27" si="11">B23*0.95</f>
        <v>13.5375</v>
      </c>
      <c r="C24" s="16">
        <f t="shared" si="10"/>
        <v>22.5625</v>
      </c>
      <c r="D24" s="16">
        <f t="shared" si="10"/>
        <v>31.587499999999999</v>
      </c>
      <c r="E24" s="16">
        <f t="shared" si="10"/>
        <v>40.612499999999997</v>
      </c>
      <c r="F24" s="16">
        <f t="shared" si="10"/>
        <v>54.15</v>
      </c>
      <c r="G24" s="16">
        <f t="shared" si="10"/>
        <v>67.6875</v>
      </c>
      <c r="H24" s="16">
        <f t="shared" si="10"/>
        <v>81.224999999999994</v>
      </c>
      <c r="I24" s="14"/>
      <c r="J24" s="14"/>
      <c r="K24" s="14">
        <f t="shared" si="4"/>
        <v>0.20205223880597015</v>
      </c>
      <c r="L24" s="14">
        <f t="shared" si="5"/>
        <v>0.47145522388059702</v>
      </c>
      <c r="M24" s="14">
        <f t="shared" si="6"/>
        <v>0.80820895522388059</v>
      </c>
      <c r="N24" s="14">
        <f t="shared" si="7"/>
        <v>0.60615671641791036</v>
      </c>
      <c r="O24" s="14">
        <f t="shared" si="8"/>
        <v>1.0102611940298507</v>
      </c>
      <c r="P24" s="14">
        <f t="shared" si="9"/>
        <v>1.0102611940298507</v>
      </c>
      <c r="Q24" s="14">
        <f t="shared" si="9"/>
        <v>1.2123134328358207</v>
      </c>
      <c r="R24" s="14"/>
    </row>
    <row r="25" spans="1:18" x14ac:dyDescent="0.4">
      <c r="A25" s="2">
        <v>75</v>
      </c>
      <c r="B25" s="16">
        <f t="shared" si="11"/>
        <v>12.860624999999999</v>
      </c>
      <c r="C25" s="16">
        <f t="shared" si="10"/>
        <v>21.434374999999999</v>
      </c>
      <c r="D25" s="16">
        <f t="shared" si="10"/>
        <v>30.008124999999996</v>
      </c>
      <c r="E25" s="16">
        <f t="shared" si="10"/>
        <v>38.581874999999997</v>
      </c>
      <c r="F25" s="16">
        <f t="shared" si="10"/>
        <v>51.442499999999995</v>
      </c>
      <c r="G25" s="16">
        <f t="shared" si="10"/>
        <v>64.303124999999994</v>
      </c>
      <c r="H25" s="16">
        <f t="shared" si="10"/>
        <v>77.163749999999993</v>
      </c>
      <c r="I25" s="14"/>
      <c r="J25" s="14"/>
      <c r="K25" s="14">
        <f t="shared" si="4"/>
        <v>0.17147499999999999</v>
      </c>
      <c r="L25" s="14">
        <f t="shared" si="5"/>
        <v>0.40010833333333329</v>
      </c>
      <c r="M25" s="14">
        <f t="shared" si="6"/>
        <v>0.68589999999999995</v>
      </c>
      <c r="N25" s="14">
        <f t="shared" si="7"/>
        <v>0.51442499999999991</v>
      </c>
      <c r="O25" s="14">
        <f t="shared" si="8"/>
        <v>0.85737499999999989</v>
      </c>
      <c r="P25" s="14">
        <f t="shared" si="9"/>
        <v>0.85737499999999989</v>
      </c>
      <c r="Q25" s="14">
        <f t="shared" si="9"/>
        <v>1.0288499999999998</v>
      </c>
      <c r="R25" s="14"/>
    </row>
    <row r="26" spans="1:18" x14ac:dyDescent="0.4">
      <c r="A26" s="2">
        <v>82</v>
      </c>
      <c r="B26" s="16">
        <f t="shared" si="11"/>
        <v>12.217593749999999</v>
      </c>
      <c r="C26" s="16">
        <f t="shared" si="10"/>
        <v>20.362656249999997</v>
      </c>
      <c r="D26" s="16">
        <f t="shared" si="10"/>
        <v>28.507718749999995</v>
      </c>
      <c r="E26" s="16">
        <f t="shared" si="10"/>
        <v>36.652781249999997</v>
      </c>
      <c r="F26" s="16">
        <f t="shared" si="10"/>
        <v>48.870374999999996</v>
      </c>
      <c r="G26" s="16">
        <f t="shared" si="10"/>
        <v>61.087968749999995</v>
      </c>
      <c r="H26" s="16">
        <f t="shared" si="10"/>
        <v>73.305562499999994</v>
      </c>
      <c r="I26" s="14"/>
      <c r="J26" s="14"/>
      <c r="K26" s="14">
        <f t="shared" si="4"/>
        <v>0.1489950457317073</v>
      </c>
      <c r="L26" s="14">
        <f t="shared" si="5"/>
        <v>0.34765510670731703</v>
      </c>
      <c r="M26" s="14">
        <f t="shared" si="6"/>
        <v>0.59598018292682919</v>
      </c>
      <c r="N26" s="14">
        <f t="shared" si="7"/>
        <v>0.4469851371951219</v>
      </c>
      <c r="O26" s="14">
        <f t="shared" si="8"/>
        <v>0.74497522865853649</v>
      </c>
      <c r="P26" s="14">
        <f t="shared" si="9"/>
        <v>0.74497522865853649</v>
      </c>
      <c r="Q26" s="14">
        <f t="shared" si="9"/>
        <v>0.89397027439024379</v>
      </c>
      <c r="R26" s="14"/>
    </row>
    <row r="27" spans="1:18" x14ac:dyDescent="0.4">
      <c r="A27" s="2">
        <v>90</v>
      </c>
      <c r="B27" s="16">
        <f t="shared" si="11"/>
        <v>11.606714062499998</v>
      </c>
      <c r="C27" s="16">
        <f t="shared" si="10"/>
        <v>19.344523437499998</v>
      </c>
      <c r="D27" s="16">
        <f t="shared" si="10"/>
        <v>27.082332812499995</v>
      </c>
      <c r="E27" s="16">
        <f t="shared" si="10"/>
        <v>34.820142187499997</v>
      </c>
      <c r="F27" s="16">
        <f t="shared" si="10"/>
        <v>46.426856249999993</v>
      </c>
      <c r="G27" s="16">
        <f t="shared" si="10"/>
        <v>58.03357031249999</v>
      </c>
      <c r="H27" s="16">
        <f t="shared" si="10"/>
        <v>69.640284374999993</v>
      </c>
      <c r="I27" s="14"/>
      <c r="J27" s="14"/>
      <c r="K27" s="14">
        <f t="shared" si="4"/>
        <v>0.12896348958333331</v>
      </c>
      <c r="L27" s="14">
        <f t="shared" si="5"/>
        <v>0.30091480902777773</v>
      </c>
      <c r="M27" s="14">
        <f t="shared" si="6"/>
        <v>0.51585395833333325</v>
      </c>
      <c r="N27" s="14">
        <f t="shared" si="7"/>
        <v>0.38689046874999994</v>
      </c>
      <c r="O27" s="14">
        <f t="shared" si="8"/>
        <v>0.64481744791666651</v>
      </c>
      <c r="P27" s="14">
        <f t="shared" si="9"/>
        <v>0.64481744791666651</v>
      </c>
      <c r="Q27" s="14">
        <f t="shared" si="9"/>
        <v>0.77378093749999988</v>
      </c>
      <c r="R27" s="14"/>
    </row>
    <row r="28" spans="1:18" x14ac:dyDescent="0.4">
      <c r="A28" s="4"/>
      <c r="B28" s="16"/>
      <c r="C28" s="16"/>
      <c r="D28" s="16"/>
      <c r="E28" s="16"/>
      <c r="F28" s="16"/>
      <c r="G28" s="16"/>
      <c r="H28" s="16"/>
      <c r="I28" s="5"/>
      <c r="J28" s="14"/>
      <c r="K28" s="14"/>
      <c r="L28" s="14"/>
      <c r="M28" s="14"/>
      <c r="N28" s="14"/>
      <c r="O28" s="14"/>
      <c r="P28" s="14"/>
      <c r="Q28" s="14"/>
      <c r="R28" s="14"/>
    </row>
    <row r="29" spans="1:18" x14ac:dyDescent="0.4">
      <c r="A29" s="4"/>
      <c r="B29" s="16"/>
      <c r="C29" s="16"/>
      <c r="D29" s="16"/>
      <c r="E29" s="16"/>
      <c r="F29" s="16"/>
      <c r="G29" s="16"/>
      <c r="H29" s="16"/>
      <c r="I29" s="5"/>
      <c r="J29" s="14"/>
      <c r="K29" s="14"/>
      <c r="L29" s="14"/>
      <c r="M29" s="14"/>
      <c r="N29" s="14"/>
      <c r="O29" s="14"/>
      <c r="P29" s="14"/>
      <c r="Q29" s="14"/>
      <c r="R29" s="14"/>
    </row>
    <row r="30" spans="1:18" x14ac:dyDescent="0.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</sheetData>
  <mergeCells count="6">
    <mergeCell ref="A1:Q1"/>
    <mergeCell ref="A3:H3"/>
    <mergeCell ref="K3:R3"/>
    <mergeCell ref="A17:H17"/>
    <mergeCell ref="K17:R17"/>
    <mergeCell ref="A2:H2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opLeftCell="A2" zoomScale="94" zoomScaleNormal="94" workbookViewId="0">
      <selection activeCell="J22" sqref="J22"/>
    </sheetView>
  </sheetViews>
  <sheetFormatPr defaultRowHeight="17.399999999999999" x14ac:dyDescent="0.4"/>
  <sheetData>
    <row r="1" spans="1:18" ht="25.2" x14ac:dyDescent="0.4">
      <c r="A1" s="2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14"/>
    </row>
    <row r="2" spans="1:18" s="14" customFormat="1" ht="25.2" x14ac:dyDescent="0.4">
      <c r="A2" s="30" t="s">
        <v>151</v>
      </c>
      <c r="B2" s="30"/>
      <c r="C2" s="30"/>
      <c r="D2" s="30"/>
      <c r="E2" s="30"/>
      <c r="F2" s="30"/>
      <c r="G2" s="30"/>
      <c r="H2" s="30"/>
      <c r="I2" s="24"/>
      <c r="J2" s="24"/>
      <c r="K2" s="24"/>
      <c r="L2" s="24"/>
      <c r="M2" s="24"/>
      <c r="N2" s="24"/>
      <c r="O2" s="24"/>
      <c r="P2" s="24"/>
      <c r="Q2" s="24"/>
    </row>
    <row r="3" spans="1:18" ht="25.2" x14ac:dyDescent="0.4">
      <c r="A3" s="25" t="s">
        <v>123</v>
      </c>
      <c r="B3" s="26"/>
      <c r="C3" s="26"/>
      <c r="D3" s="26"/>
      <c r="E3" s="26"/>
      <c r="F3" s="26"/>
      <c r="G3" s="26"/>
      <c r="H3" s="26"/>
      <c r="I3" s="14"/>
      <c r="J3" s="14"/>
      <c r="K3" s="25" t="s">
        <v>124</v>
      </c>
      <c r="L3" s="26"/>
      <c r="M3" s="26"/>
      <c r="N3" s="26"/>
      <c r="O3" s="26"/>
      <c r="P3" s="26"/>
      <c r="Q3" s="26"/>
      <c r="R3" s="26"/>
    </row>
    <row r="4" spans="1:18" x14ac:dyDescent="0.4">
      <c r="A4" s="1" t="s">
        <v>29</v>
      </c>
      <c r="B4" s="14" t="s">
        <v>8</v>
      </c>
      <c r="C4" s="14" t="s">
        <v>9</v>
      </c>
      <c r="D4" s="14" t="s">
        <v>10</v>
      </c>
      <c r="E4" s="14" t="s">
        <v>11</v>
      </c>
      <c r="F4" s="14" t="s">
        <v>31</v>
      </c>
      <c r="G4" s="14" t="s">
        <v>13</v>
      </c>
      <c r="H4" s="14" t="s">
        <v>33</v>
      </c>
      <c r="I4" s="14"/>
      <c r="J4" s="14"/>
      <c r="K4" s="14" t="s">
        <v>8</v>
      </c>
      <c r="L4" s="14" t="s">
        <v>9</v>
      </c>
      <c r="M4" s="14" t="s">
        <v>10</v>
      </c>
      <c r="N4" s="14" t="s">
        <v>11</v>
      </c>
      <c r="O4" s="14" t="s">
        <v>31</v>
      </c>
      <c r="P4" s="14" t="s">
        <v>13</v>
      </c>
      <c r="Q4" s="14" t="s">
        <v>33</v>
      </c>
      <c r="R4" s="14"/>
    </row>
    <row r="5" spans="1:18" x14ac:dyDescent="0.4">
      <c r="A5" s="3">
        <v>55</v>
      </c>
      <c r="B5" s="16">
        <f t="shared" ref="B5:H7" si="0">B6*0.95</f>
        <v>0</v>
      </c>
      <c r="C5" s="16">
        <f t="shared" si="0"/>
        <v>3.4294999999999995</v>
      </c>
      <c r="D5" s="16">
        <f t="shared" si="0"/>
        <v>6.8589999999999991</v>
      </c>
      <c r="E5" s="16">
        <f t="shared" si="0"/>
        <v>12.860624999999999</v>
      </c>
      <c r="F5" s="16">
        <f t="shared" si="0"/>
        <v>25.721249999999998</v>
      </c>
      <c r="G5" s="16">
        <f t="shared" si="0"/>
        <v>34.295000000000002</v>
      </c>
      <c r="H5" s="16">
        <f t="shared" si="0"/>
        <v>51.442499999999995</v>
      </c>
      <c r="I5" s="14"/>
      <c r="J5" s="14"/>
      <c r="K5" s="14">
        <f t="shared" ref="K5:Q15" si="1">B5/$A5</f>
        <v>0</v>
      </c>
      <c r="L5" s="14">
        <f t="shared" si="1"/>
        <v>6.2354545454545447E-2</v>
      </c>
      <c r="M5" s="14">
        <f t="shared" si="1"/>
        <v>0.12470909090909089</v>
      </c>
      <c r="N5" s="14">
        <f t="shared" si="1"/>
        <v>0.23382954545454543</v>
      </c>
      <c r="O5" s="14">
        <f t="shared" si="1"/>
        <v>0.46765909090909086</v>
      </c>
      <c r="P5" s="14">
        <f t="shared" si="1"/>
        <v>0.62354545454545462</v>
      </c>
      <c r="Q5" s="14">
        <f t="shared" si="1"/>
        <v>0.93531818181818172</v>
      </c>
      <c r="R5" s="14"/>
    </row>
    <row r="6" spans="1:18" x14ac:dyDescent="0.4">
      <c r="A6" s="3">
        <v>60</v>
      </c>
      <c r="B6" s="16">
        <f t="shared" si="0"/>
        <v>0</v>
      </c>
      <c r="C6" s="16">
        <f t="shared" si="0"/>
        <v>3.61</v>
      </c>
      <c r="D6" s="16">
        <f t="shared" si="0"/>
        <v>7.22</v>
      </c>
      <c r="E6" s="16">
        <f t="shared" si="0"/>
        <v>13.5375</v>
      </c>
      <c r="F6" s="16">
        <f t="shared" si="0"/>
        <v>27.074999999999999</v>
      </c>
      <c r="G6" s="16">
        <f t="shared" si="0"/>
        <v>36.1</v>
      </c>
      <c r="H6" s="16">
        <f t="shared" si="0"/>
        <v>54.15</v>
      </c>
      <c r="I6" s="14"/>
      <c r="J6" s="14"/>
      <c r="K6" s="14">
        <f t="shared" si="1"/>
        <v>0</v>
      </c>
      <c r="L6" s="14">
        <f t="shared" si="1"/>
        <v>6.0166666666666667E-2</v>
      </c>
      <c r="M6" s="14">
        <f t="shared" si="1"/>
        <v>0.12033333333333333</v>
      </c>
      <c r="N6" s="14">
        <f t="shared" si="1"/>
        <v>0.22562499999999999</v>
      </c>
      <c r="O6" s="14">
        <f t="shared" si="1"/>
        <v>0.45124999999999998</v>
      </c>
      <c r="P6" s="14">
        <f t="shared" si="1"/>
        <v>0.60166666666666668</v>
      </c>
      <c r="Q6" s="14">
        <f t="shared" si="1"/>
        <v>0.90249999999999997</v>
      </c>
      <c r="R6" s="14"/>
    </row>
    <row r="7" spans="1:18" x14ac:dyDescent="0.4">
      <c r="A7" s="3">
        <v>65</v>
      </c>
      <c r="B7" s="16">
        <f>B8*0.95</f>
        <v>0</v>
      </c>
      <c r="C7" s="16">
        <f t="shared" si="0"/>
        <v>3.8</v>
      </c>
      <c r="D7" s="16">
        <f t="shared" si="0"/>
        <v>7.6</v>
      </c>
      <c r="E7" s="16">
        <f t="shared" si="0"/>
        <v>14.25</v>
      </c>
      <c r="F7" s="16">
        <f t="shared" si="0"/>
        <v>28.5</v>
      </c>
      <c r="G7" s="16">
        <f t="shared" si="0"/>
        <v>38</v>
      </c>
      <c r="H7" s="16">
        <f t="shared" si="0"/>
        <v>57</v>
      </c>
      <c r="I7" s="14"/>
      <c r="J7" s="14"/>
      <c r="K7" s="14">
        <f t="shared" si="1"/>
        <v>0</v>
      </c>
      <c r="L7" s="14">
        <f t="shared" si="1"/>
        <v>5.8461538461538461E-2</v>
      </c>
      <c r="M7" s="14">
        <f t="shared" si="1"/>
        <v>0.11692307692307692</v>
      </c>
      <c r="N7" s="14">
        <f t="shared" si="1"/>
        <v>0.21923076923076923</v>
      </c>
      <c r="O7" s="14">
        <f t="shared" si="1"/>
        <v>0.43846153846153846</v>
      </c>
      <c r="P7" s="14">
        <f t="shared" si="1"/>
        <v>0.58461538461538465</v>
      </c>
      <c r="Q7" s="14">
        <f t="shared" si="1"/>
        <v>0.87692307692307692</v>
      </c>
      <c r="R7" s="14"/>
    </row>
    <row r="8" spans="1:18" x14ac:dyDescent="0.4">
      <c r="A8" s="3">
        <v>70</v>
      </c>
      <c r="B8" s="14">
        <v>0</v>
      </c>
      <c r="C8" s="6">
        <v>4</v>
      </c>
      <c r="D8" s="14">
        <v>8</v>
      </c>
      <c r="E8" s="6">
        <v>15</v>
      </c>
      <c r="F8" s="14">
        <v>30</v>
      </c>
      <c r="G8" s="14">
        <v>40</v>
      </c>
      <c r="H8" s="14">
        <v>60</v>
      </c>
      <c r="I8" s="14"/>
      <c r="J8" s="14"/>
      <c r="K8" s="14">
        <f t="shared" si="1"/>
        <v>0</v>
      </c>
      <c r="L8" s="14">
        <f t="shared" si="1"/>
        <v>5.7142857142857141E-2</v>
      </c>
      <c r="M8" s="14">
        <f t="shared" si="1"/>
        <v>0.11428571428571428</v>
      </c>
      <c r="N8" s="14">
        <f t="shared" si="1"/>
        <v>0.21428571428571427</v>
      </c>
      <c r="O8" s="14">
        <f t="shared" si="1"/>
        <v>0.42857142857142855</v>
      </c>
      <c r="P8" s="14">
        <f t="shared" si="1"/>
        <v>0.5714285714285714</v>
      </c>
      <c r="Q8" s="14">
        <f t="shared" si="1"/>
        <v>0.8571428571428571</v>
      </c>
      <c r="R8" s="14"/>
    </row>
    <row r="9" spans="1:18" x14ac:dyDescent="0.4">
      <c r="A9" s="3">
        <v>75</v>
      </c>
      <c r="B9" s="18">
        <f>B8*0.95</f>
        <v>0</v>
      </c>
      <c r="C9" s="18">
        <f t="shared" ref="C9:H15" si="2">C8*0.95</f>
        <v>3.8</v>
      </c>
      <c r="D9" s="18">
        <f t="shared" si="2"/>
        <v>7.6</v>
      </c>
      <c r="E9" s="18">
        <f t="shared" si="2"/>
        <v>14.25</v>
      </c>
      <c r="F9" s="18">
        <f t="shared" si="2"/>
        <v>28.5</v>
      </c>
      <c r="G9" s="18">
        <f t="shared" si="2"/>
        <v>38</v>
      </c>
      <c r="H9" s="18">
        <f t="shared" si="2"/>
        <v>57</v>
      </c>
      <c r="I9" s="14"/>
      <c r="J9" s="14"/>
      <c r="K9" s="14">
        <f t="shared" si="1"/>
        <v>0</v>
      </c>
      <c r="L9" s="14">
        <f t="shared" si="1"/>
        <v>5.0666666666666665E-2</v>
      </c>
      <c r="M9" s="14">
        <f t="shared" si="1"/>
        <v>0.10133333333333333</v>
      </c>
      <c r="N9" s="14">
        <f t="shared" si="1"/>
        <v>0.19</v>
      </c>
      <c r="O9" s="14">
        <f t="shared" si="1"/>
        <v>0.38</v>
      </c>
      <c r="P9" s="14">
        <f t="shared" si="1"/>
        <v>0.50666666666666671</v>
      </c>
      <c r="Q9" s="14">
        <f t="shared" si="1"/>
        <v>0.76</v>
      </c>
      <c r="R9" s="14"/>
    </row>
    <row r="10" spans="1:18" x14ac:dyDescent="0.4">
      <c r="A10" s="3">
        <v>82</v>
      </c>
      <c r="B10" s="18">
        <f t="shared" ref="B10:B15" si="3">B9*0.95</f>
        <v>0</v>
      </c>
      <c r="C10" s="18">
        <f t="shared" si="2"/>
        <v>3.61</v>
      </c>
      <c r="D10" s="18">
        <f t="shared" si="2"/>
        <v>7.22</v>
      </c>
      <c r="E10" s="18">
        <f t="shared" si="2"/>
        <v>13.5375</v>
      </c>
      <c r="F10" s="18">
        <f t="shared" si="2"/>
        <v>27.074999999999999</v>
      </c>
      <c r="G10" s="18">
        <f t="shared" si="2"/>
        <v>36.1</v>
      </c>
      <c r="H10" s="18">
        <f t="shared" si="2"/>
        <v>54.15</v>
      </c>
      <c r="I10" s="14"/>
      <c r="J10" s="14"/>
      <c r="K10" s="14">
        <f t="shared" si="1"/>
        <v>0</v>
      </c>
      <c r="L10" s="14">
        <f t="shared" si="1"/>
        <v>4.4024390243902436E-2</v>
      </c>
      <c r="M10" s="14">
        <f t="shared" si="1"/>
        <v>8.8048780487804873E-2</v>
      </c>
      <c r="N10" s="14">
        <f t="shared" si="1"/>
        <v>0.16509146341463415</v>
      </c>
      <c r="O10" s="14">
        <f t="shared" si="1"/>
        <v>0.33018292682926831</v>
      </c>
      <c r="P10" s="14">
        <f t="shared" si="1"/>
        <v>0.44024390243902439</v>
      </c>
      <c r="Q10" s="14">
        <f t="shared" si="1"/>
        <v>0.66036585365853662</v>
      </c>
      <c r="R10" s="14"/>
    </row>
    <row r="11" spans="1:18" x14ac:dyDescent="0.4">
      <c r="A11" s="3">
        <v>90</v>
      </c>
      <c r="B11" s="18">
        <f t="shared" si="3"/>
        <v>0</v>
      </c>
      <c r="C11" s="18">
        <f t="shared" si="2"/>
        <v>3.4294999999999995</v>
      </c>
      <c r="D11" s="18">
        <f t="shared" si="2"/>
        <v>6.8589999999999991</v>
      </c>
      <c r="E11" s="18">
        <f t="shared" si="2"/>
        <v>12.860624999999999</v>
      </c>
      <c r="F11" s="18">
        <f t="shared" si="2"/>
        <v>25.721249999999998</v>
      </c>
      <c r="G11" s="18">
        <f t="shared" si="2"/>
        <v>34.295000000000002</v>
      </c>
      <c r="H11" s="18">
        <f t="shared" si="2"/>
        <v>51.442499999999995</v>
      </c>
      <c r="I11" s="14"/>
      <c r="J11" s="14"/>
      <c r="K11" s="14">
        <f t="shared" si="1"/>
        <v>0</v>
      </c>
      <c r="L11" s="14">
        <f t="shared" si="1"/>
        <v>3.8105555555555552E-2</v>
      </c>
      <c r="M11" s="14">
        <f t="shared" si="1"/>
        <v>7.6211111111111104E-2</v>
      </c>
      <c r="N11" s="14">
        <f t="shared" si="1"/>
        <v>0.14289583333333333</v>
      </c>
      <c r="O11" s="14">
        <f t="shared" si="1"/>
        <v>0.28579166666666667</v>
      </c>
      <c r="P11" s="14">
        <f t="shared" si="1"/>
        <v>0.38105555555555559</v>
      </c>
      <c r="Q11" s="14">
        <f t="shared" si="1"/>
        <v>0.57158333333333333</v>
      </c>
      <c r="R11" s="14"/>
    </row>
    <row r="12" spans="1:18" x14ac:dyDescent="0.4">
      <c r="A12" s="3">
        <v>100</v>
      </c>
      <c r="B12" s="18">
        <f t="shared" si="3"/>
        <v>0</v>
      </c>
      <c r="C12" s="18">
        <f t="shared" si="2"/>
        <v>3.2580249999999995</v>
      </c>
      <c r="D12" s="18">
        <f t="shared" si="2"/>
        <v>6.516049999999999</v>
      </c>
      <c r="E12" s="18">
        <f t="shared" si="2"/>
        <v>12.217593749999999</v>
      </c>
      <c r="F12" s="18">
        <f t="shared" si="2"/>
        <v>24.435187499999998</v>
      </c>
      <c r="G12" s="18">
        <f t="shared" si="2"/>
        <v>32.580249999999999</v>
      </c>
      <c r="H12" s="18">
        <f t="shared" si="2"/>
        <v>48.870374999999996</v>
      </c>
      <c r="I12" s="14"/>
      <c r="J12" s="14"/>
      <c r="K12" s="14">
        <f t="shared" si="1"/>
        <v>0</v>
      </c>
      <c r="L12" s="14">
        <f t="shared" si="1"/>
        <v>3.2580249999999998E-2</v>
      </c>
      <c r="M12" s="14">
        <f t="shared" si="1"/>
        <v>6.5160499999999996E-2</v>
      </c>
      <c r="N12" s="14">
        <f t="shared" si="1"/>
        <v>0.12217593749999998</v>
      </c>
      <c r="O12" s="14">
        <f t="shared" si="1"/>
        <v>0.24435187499999997</v>
      </c>
      <c r="P12" s="14">
        <f t="shared" si="1"/>
        <v>0.32580249999999999</v>
      </c>
      <c r="Q12" s="14">
        <f t="shared" si="1"/>
        <v>0.48870374999999994</v>
      </c>
      <c r="R12" s="14"/>
    </row>
    <row r="13" spans="1:18" x14ac:dyDescent="0.4">
      <c r="A13" s="3">
        <v>110</v>
      </c>
      <c r="B13" s="18">
        <f t="shared" si="3"/>
        <v>0</v>
      </c>
      <c r="C13" s="18">
        <f t="shared" si="2"/>
        <v>3.0951237499999995</v>
      </c>
      <c r="D13" s="18">
        <f t="shared" si="2"/>
        <v>6.190247499999999</v>
      </c>
      <c r="E13" s="18">
        <f t="shared" si="2"/>
        <v>11.606714062499998</v>
      </c>
      <c r="F13" s="18">
        <f t="shared" si="2"/>
        <v>23.213428124999997</v>
      </c>
      <c r="G13" s="18">
        <f t="shared" si="2"/>
        <v>30.951237499999998</v>
      </c>
      <c r="H13" s="18">
        <f t="shared" si="2"/>
        <v>46.426856249999993</v>
      </c>
      <c r="I13" s="14"/>
      <c r="J13" s="14"/>
      <c r="K13" s="14">
        <f t="shared" si="1"/>
        <v>0</v>
      </c>
      <c r="L13" s="14">
        <f t="shared" si="1"/>
        <v>2.8137488636363631E-2</v>
      </c>
      <c r="M13" s="14">
        <f t="shared" si="1"/>
        <v>5.6274977272727261E-2</v>
      </c>
      <c r="N13" s="14">
        <f t="shared" si="1"/>
        <v>0.10551558238636362</v>
      </c>
      <c r="O13" s="14">
        <f t="shared" si="1"/>
        <v>0.21103116477272724</v>
      </c>
      <c r="P13" s="14">
        <f t="shared" si="1"/>
        <v>0.28137488636363633</v>
      </c>
      <c r="Q13" s="14">
        <f t="shared" si="1"/>
        <v>0.42206232954545447</v>
      </c>
      <c r="R13" s="14"/>
    </row>
    <row r="14" spans="1:18" x14ac:dyDescent="0.4">
      <c r="A14" s="3">
        <v>120</v>
      </c>
      <c r="B14" s="18">
        <f t="shared" si="3"/>
        <v>0</v>
      </c>
      <c r="C14" s="18">
        <f t="shared" si="2"/>
        <v>2.9403675624999992</v>
      </c>
      <c r="D14" s="18">
        <f t="shared" si="2"/>
        <v>5.8807351249999984</v>
      </c>
      <c r="E14" s="18">
        <f t="shared" si="2"/>
        <v>11.026378359374998</v>
      </c>
      <c r="F14" s="18">
        <f t="shared" si="2"/>
        <v>22.052756718749997</v>
      </c>
      <c r="G14" s="18">
        <f t="shared" si="2"/>
        <v>29.403675624999998</v>
      </c>
      <c r="H14" s="18">
        <f t="shared" si="2"/>
        <v>44.105513437499994</v>
      </c>
      <c r="I14" s="14"/>
      <c r="J14" s="14"/>
      <c r="K14" s="14">
        <f t="shared" si="1"/>
        <v>0</v>
      </c>
      <c r="L14" s="14">
        <f t="shared" si="1"/>
        <v>2.4503063020833327E-2</v>
      </c>
      <c r="M14" s="14">
        <f t="shared" si="1"/>
        <v>4.9006126041666653E-2</v>
      </c>
      <c r="N14" s="14">
        <f t="shared" si="1"/>
        <v>9.1886486328124989E-2</v>
      </c>
      <c r="O14" s="14">
        <f t="shared" si="1"/>
        <v>0.18377297265624998</v>
      </c>
      <c r="P14" s="14">
        <f t="shared" si="1"/>
        <v>0.24503063020833332</v>
      </c>
      <c r="Q14" s="14">
        <f t="shared" si="1"/>
        <v>0.36754594531249996</v>
      </c>
      <c r="R14" s="14"/>
    </row>
    <row r="15" spans="1:18" x14ac:dyDescent="0.4">
      <c r="A15" s="3">
        <v>130</v>
      </c>
      <c r="B15" s="18">
        <f t="shared" si="3"/>
        <v>0</v>
      </c>
      <c r="C15" s="18">
        <f t="shared" si="2"/>
        <v>2.7933491843749989</v>
      </c>
      <c r="D15" s="18">
        <f t="shared" si="2"/>
        <v>5.5866983687499978</v>
      </c>
      <c r="E15" s="18">
        <f t="shared" si="2"/>
        <v>10.475059441406248</v>
      </c>
      <c r="F15" s="18">
        <f t="shared" si="2"/>
        <v>20.950118882812497</v>
      </c>
      <c r="G15" s="18">
        <f t="shared" si="2"/>
        <v>27.933491843749998</v>
      </c>
      <c r="H15" s="18">
        <f t="shared" si="2"/>
        <v>41.900237765624993</v>
      </c>
      <c r="I15" s="14"/>
      <c r="J15" s="14"/>
      <c r="K15" s="14">
        <f t="shared" si="1"/>
        <v>0</v>
      </c>
      <c r="L15" s="14">
        <f t="shared" si="1"/>
        <v>2.1487301418269222E-2</v>
      </c>
      <c r="M15" s="14">
        <f t="shared" si="1"/>
        <v>4.2974602836538443E-2</v>
      </c>
      <c r="N15" s="14">
        <f t="shared" si="1"/>
        <v>8.0577380318509598E-2</v>
      </c>
      <c r="O15" s="14">
        <f t="shared" si="1"/>
        <v>0.1611547606370192</v>
      </c>
      <c r="P15" s="14">
        <f t="shared" si="1"/>
        <v>0.21487301418269228</v>
      </c>
      <c r="Q15" s="14">
        <f t="shared" si="1"/>
        <v>0.32230952127403839</v>
      </c>
      <c r="R15" s="14"/>
    </row>
    <row r="16" spans="1:18" x14ac:dyDescent="0.4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27.6" x14ac:dyDescent="0.4">
      <c r="A17" s="25" t="s">
        <v>125</v>
      </c>
      <c r="B17" s="26"/>
      <c r="C17" s="26"/>
      <c r="D17" s="26"/>
      <c r="E17" s="26"/>
      <c r="F17" s="26"/>
      <c r="G17" s="26"/>
      <c r="H17" s="26"/>
      <c r="I17" s="14"/>
      <c r="J17" s="14"/>
      <c r="K17" s="27" t="s">
        <v>126</v>
      </c>
      <c r="L17" s="28"/>
      <c r="M17" s="28"/>
      <c r="N17" s="28"/>
      <c r="O17" s="28"/>
      <c r="P17" s="28"/>
      <c r="Q17" s="28"/>
      <c r="R17" s="28"/>
    </row>
    <row r="18" spans="1:18" x14ac:dyDescent="0.4">
      <c r="A18" s="1" t="s">
        <v>29</v>
      </c>
      <c r="B18" s="14" t="s">
        <v>8</v>
      </c>
      <c r="C18" s="14" t="s">
        <v>9</v>
      </c>
      <c r="D18" s="14" t="s">
        <v>10</v>
      </c>
      <c r="E18" s="14" t="s">
        <v>11</v>
      </c>
      <c r="F18" s="14" t="s">
        <v>31</v>
      </c>
      <c r="G18" s="14" t="s">
        <v>13</v>
      </c>
      <c r="H18" s="14" t="s">
        <v>33</v>
      </c>
      <c r="I18" s="14"/>
      <c r="J18" s="14"/>
      <c r="K18" s="14" t="s">
        <v>8</v>
      </c>
      <c r="L18" s="14" t="s">
        <v>9</v>
      </c>
      <c r="M18" s="14" t="s">
        <v>10</v>
      </c>
      <c r="N18" s="14" t="s">
        <v>11</v>
      </c>
      <c r="O18" s="14" t="s">
        <v>31</v>
      </c>
      <c r="P18" s="14" t="s">
        <v>13</v>
      </c>
      <c r="Q18" s="14" t="s">
        <v>33</v>
      </c>
      <c r="R18" s="14"/>
    </row>
    <row r="19" spans="1:18" x14ac:dyDescent="0.4">
      <c r="A19" s="2">
        <v>44</v>
      </c>
      <c r="B19" s="16">
        <f>B5/2</f>
        <v>0</v>
      </c>
      <c r="C19" s="16">
        <f>C5/2</f>
        <v>1.7147499999999998</v>
      </c>
      <c r="D19" s="16">
        <f>D5/2</f>
        <v>3.4294999999999995</v>
      </c>
      <c r="E19" s="16">
        <f>E5/2</f>
        <v>6.4303124999999994</v>
      </c>
      <c r="F19" s="16">
        <f>F5/2</f>
        <v>12.860624999999999</v>
      </c>
      <c r="G19" s="16">
        <f>G5/2</f>
        <v>17.147500000000001</v>
      </c>
      <c r="H19" s="16">
        <f>H5/2</f>
        <v>25.721249999999998</v>
      </c>
      <c r="I19" s="14"/>
      <c r="J19" s="14"/>
      <c r="K19" s="14">
        <f>B19/$A19</f>
        <v>0</v>
      </c>
      <c r="L19" s="14">
        <f>D19/$A19</f>
        <v>7.7943181818181814E-2</v>
      </c>
      <c r="M19" s="14">
        <f>F19/$A19</f>
        <v>0.29228693181818177</v>
      </c>
      <c r="N19" s="14">
        <f>E19/$A19</f>
        <v>0.14614346590909089</v>
      </c>
      <c r="O19" s="14">
        <f>G19/$A19</f>
        <v>0.38971590909090909</v>
      </c>
      <c r="P19" s="14">
        <f>G19/$A19</f>
        <v>0.38971590909090909</v>
      </c>
      <c r="Q19" s="14">
        <f>H19/$A19</f>
        <v>0.58457386363636354</v>
      </c>
      <c r="R19" s="14"/>
    </row>
    <row r="20" spans="1:18" x14ac:dyDescent="0.4">
      <c r="A20" s="2">
        <v>48</v>
      </c>
      <c r="B20" s="16">
        <f>B6/2</f>
        <v>0</v>
      </c>
      <c r="C20" s="16">
        <f>C6/2</f>
        <v>1.8049999999999999</v>
      </c>
      <c r="D20" s="16">
        <f>D6/2</f>
        <v>3.61</v>
      </c>
      <c r="E20" s="16">
        <f>E6/2</f>
        <v>6.7687499999999998</v>
      </c>
      <c r="F20" s="16">
        <f>F6/2</f>
        <v>13.5375</v>
      </c>
      <c r="G20" s="16">
        <f>G6/2</f>
        <v>18.05</v>
      </c>
      <c r="H20" s="16">
        <f>H6/2</f>
        <v>27.074999999999999</v>
      </c>
      <c r="I20" s="14"/>
      <c r="J20" s="14"/>
      <c r="K20" s="14">
        <f t="shared" ref="K20:K27" si="4">B20/$A20</f>
        <v>0</v>
      </c>
      <c r="L20" s="14">
        <f t="shared" ref="L20:L27" si="5">D20/$A20</f>
        <v>7.5208333333333335E-2</v>
      </c>
      <c r="M20" s="14">
        <f t="shared" ref="M20:M27" si="6">F20/$A20</f>
        <v>0.28203125000000001</v>
      </c>
      <c r="N20" s="14">
        <f t="shared" ref="N20:N27" si="7">E20/$A20</f>
        <v>0.14101562500000001</v>
      </c>
      <c r="O20" s="14">
        <f t="shared" ref="O20:O27" si="8">G20/$A20</f>
        <v>0.37604166666666666</v>
      </c>
      <c r="P20" s="14">
        <f t="shared" ref="P20:Q27" si="9">G20/$A20</f>
        <v>0.37604166666666666</v>
      </c>
      <c r="Q20" s="14">
        <f t="shared" si="9"/>
        <v>0.56406250000000002</v>
      </c>
      <c r="R20" s="14"/>
    </row>
    <row r="21" spans="1:18" x14ac:dyDescent="0.4">
      <c r="A21" s="2">
        <v>52</v>
      </c>
      <c r="B21" s="16">
        <f>B7/2</f>
        <v>0</v>
      </c>
      <c r="C21" s="16">
        <f>C7/2</f>
        <v>1.9</v>
      </c>
      <c r="D21" s="16">
        <f>D7/2</f>
        <v>3.8</v>
      </c>
      <c r="E21" s="16">
        <f>E7/2</f>
        <v>7.125</v>
      </c>
      <c r="F21" s="16">
        <f>F7/2</f>
        <v>14.25</v>
      </c>
      <c r="G21" s="16">
        <f>G7/2</f>
        <v>19</v>
      </c>
      <c r="H21" s="16">
        <f>H7/2</f>
        <v>28.5</v>
      </c>
      <c r="I21" s="14"/>
      <c r="J21" s="14"/>
      <c r="K21" s="14">
        <f t="shared" si="4"/>
        <v>0</v>
      </c>
      <c r="L21" s="14">
        <f t="shared" si="5"/>
        <v>7.3076923076923067E-2</v>
      </c>
      <c r="M21" s="14">
        <f t="shared" si="6"/>
        <v>0.27403846153846156</v>
      </c>
      <c r="N21" s="14">
        <f t="shared" si="7"/>
        <v>0.13701923076923078</v>
      </c>
      <c r="O21" s="14">
        <f t="shared" si="8"/>
        <v>0.36538461538461536</v>
      </c>
      <c r="P21" s="14">
        <f t="shared" si="9"/>
        <v>0.36538461538461536</v>
      </c>
      <c r="Q21" s="14">
        <f t="shared" si="9"/>
        <v>0.54807692307692313</v>
      </c>
      <c r="R21" s="14"/>
    </row>
    <row r="22" spans="1:18" x14ac:dyDescent="0.4">
      <c r="A22" s="2">
        <v>56</v>
      </c>
      <c r="B22" s="16">
        <f>B8/2</f>
        <v>0</v>
      </c>
      <c r="C22" s="16">
        <f>C8/2</f>
        <v>2</v>
      </c>
      <c r="D22" s="16">
        <f>D8/2</f>
        <v>4</v>
      </c>
      <c r="E22" s="16">
        <f>E8/2</f>
        <v>7.5</v>
      </c>
      <c r="F22" s="16">
        <f>F8/2</f>
        <v>15</v>
      </c>
      <c r="G22" s="16">
        <f>G8/2</f>
        <v>20</v>
      </c>
      <c r="H22" s="16">
        <f>H8/2</f>
        <v>30</v>
      </c>
      <c r="I22" s="14"/>
      <c r="J22" s="14"/>
      <c r="K22" s="14">
        <f t="shared" si="4"/>
        <v>0</v>
      </c>
      <c r="L22" s="14">
        <f t="shared" si="5"/>
        <v>7.1428571428571425E-2</v>
      </c>
      <c r="M22" s="14">
        <f t="shared" si="6"/>
        <v>0.26785714285714285</v>
      </c>
      <c r="N22" s="14">
        <f t="shared" si="7"/>
        <v>0.13392857142857142</v>
      </c>
      <c r="O22" s="14">
        <f t="shared" si="8"/>
        <v>0.35714285714285715</v>
      </c>
      <c r="P22" s="14">
        <f t="shared" si="9"/>
        <v>0.35714285714285715</v>
      </c>
      <c r="Q22" s="14">
        <f t="shared" si="9"/>
        <v>0.5357142857142857</v>
      </c>
      <c r="R22" s="14"/>
    </row>
    <row r="23" spans="1:18" x14ac:dyDescent="0.4">
      <c r="A23" s="2">
        <v>60</v>
      </c>
      <c r="B23" s="16">
        <f>B22*0.95</f>
        <v>0</v>
      </c>
      <c r="C23" s="16">
        <f t="shared" ref="C23:H27" si="10">C22*0.95</f>
        <v>1.9</v>
      </c>
      <c r="D23" s="16">
        <f t="shared" si="10"/>
        <v>3.8</v>
      </c>
      <c r="E23" s="16">
        <f t="shared" si="10"/>
        <v>7.125</v>
      </c>
      <c r="F23" s="16">
        <f t="shared" si="10"/>
        <v>14.25</v>
      </c>
      <c r="G23" s="16">
        <f t="shared" si="10"/>
        <v>19</v>
      </c>
      <c r="H23" s="16">
        <f t="shared" si="10"/>
        <v>28.5</v>
      </c>
      <c r="I23" s="14"/>
      <c r="J23" s="14"/>
      <c r="K23" s="14">
        <f t="shared" si="4"/>
        <v>0</v>
      </c>
      <c r="L23" s="14">
        <f t="shared" si="5"/>
        <v>6.3333333333333325E-2</v>
      </c>
      <c r="M23" s="14">
        <f t="shared" si="6"/>
        <v>0.23749999999999999</v>
      </c>
      <c r="N23" s="14">
        <f t="shared" si="7"/>
        <v>0.11874999999999999</v>
      </c>
      <c r="O23" s="14">
        <f t="shared" si="8"/>
        <v>0.31666666666666665</v>
      </c>
      <c r="P23" s="14">
        <f t="shared" si="9"/>
        <v>0.31666666666666665</v>
      </c>
      <c r="Q23" s="14">
        <f t="shared" si="9"/>
        <v>0.47499999999999998</v>
      </c>
      <c r="R23" s="14"/>
    </row>
    <row r="24" spans="1:18" x14ac:dyDescent="0.4">
      <c r="A24" s="2">
        <v>67</v>
      </c>
      <c r="B24" s="16">
        <f t="shared" ref="B24:B27" si="11">B23*0.95</f>
        <v>0</v>
      </c>
      <c r="C24" s="16">
        <f t="shared" si="10"/>
        <v>1.8049999999999999</v>
      </c>
      <c r="D24" s="16">
        <f t="shared" si="10"/>
        <v>3.61</v>
      </c>
      <c r="E24" s="16">
        <f t="shared" si="10"/>
        <v>6.7687499999999998</v>
      </c>
      <c r="F24" s="16">
        <f t="shared" si="10"/>
        <v>13.5375</v>
      </c>
      <c r="G24" s="16">
        <f t="shared" si="10"/>
        <v>18.05</v>
      </c>
      <c r="H24" s="16">
        <f t="shared" si="10"/>
        <v>27.074999999999999</v>
      </c>
      <c r="I24" s="14"/>
      <c r="J24" s="14"/>
      <c r="K24" s="14">
        <f t="shared" si="4"/>
        <v>0</v>
      </c>
      <c r="L24" s="14">
        <f t="shared" si="5"/>
        <v>5.3880597014925369E-2</v>
      </c>
      <c r="M24" s="14">
        <f t="shared" si="6"/>
        <v>0.20205223880597015</v>
      </c>
      <c r="N24" s="14">
        <f t="shared" si="7"/>
        <v>0.10102611940298507</v>
      </c>
      <c r="O24" s="14">
        <f t="shared" si="8"/>
        <v>0.2694029850746269</v>
      </c>
      <c r="P24" s="14">
        <f t="shared" si="9"/>
        <v>0.2694029850746269</v>
      </c>
      <c r="Q24" s="14">
        <f t="shared" si="9"/>
        <v>0.40410447761194029</v>
      </c>
      <c r="R24" s="14"/>
    </row>
    <row r="25" spans="1:18" x14ac:dyDescent="0.4">
      <c r="A25" s="2">
        <v>75</v>
      </c>
      <c r="B25" s="16">
        <f t="shared" si="11"/>
        <v>0</v>
      </c>
      <c r="C25" s="16">
        <f t="shared" si="10"/>
        <v>1.7147499999999998</v>
      </c>
      <c r="D25" s="16">
        <f t="shared" si="10"/>
        <v>3.4294999999999995</v>
      </c>
      <c r="E25" s="16">
        <f t="shared" si="10"/>
        <v>6.4303124999999994</v>
      </c>
      <c r="F25" s="16">
        <f t="shared" si="10"/>
        <v>12.860624999999999</v>
      </c>
      <c r="G25" s="16">
        <f t="shared" si="10"/>
        <v>17.147500000000001</v>
      </c>
      <c r="H25" s="16">
        <f t="shared" si="10"/>
        <v>25.721249999999998</v>
      </c>
      <c r="I25" s="14"/>
      <c r="J25" s="14"/>
      <c r="K25" s="14">
        <f t="shared" si="4"/>
        <v>0</v>
      </c>
      <c r="L25" s="14">
        <f t="shared" si="5"/>
        <v>4.5726666666666659E-2</v>
      </c>
      <c r="M25" s="14">
        <f t="shared" si="6"/>
        <v>0.17147499999999999</v>
      </c>
      <c r="N25" s="14">
        <f t="shared" si="7"/>
        <v>8.5737499999999994E-2</v>
      </c>
      <c r="O25" s="14">
        <f t="shared" si="8"/>
        <v>0.22863333333333336</v>
      </c>
      <c r="P25" s="14">
        <f t="shared" si="9"/>
        <v>0.22863333333333336</v>
      </c>
      <c r="Q25" s="14">
        <f t="shared" si="9"/>
        <v>0.34294999999999998</v>
      </c>
      <c r="R25" s="14"/>
    </row>
    <row r="26" spans="1:18" x14ac:dyDescent="0.4">
      <c r="A26" s="2">
        <v>82</v>
      </c>
      <c r="B26" s="16">
        <f t="shared" si="11"/>
        <v>0</v>
      </c>
      <c r="C26" s="16">
        <f t="shared" si="10"/>
        <v>1.6290124999999998</v>
      </c>
      <c r="D26" s="16">
        <f t="shared" si="10"/>
        <v>3.2580249999999995</v>
      </c>
      <c r="E26" s="16">
        <f t="shared" si="10"/>
        <v>6.1087968749999995</v>
      </c>
      <c r="F26" s="16">
        <f t="shared" si="10"/>
        <v>12.217593749999999</v>
      </c>
      <c r="G26" s="16">
        <f t="shared" si="10"/>
        <v>16.290125</v>
      </c>
      <c r="H26" s="16">
        <f t="shared" si="10"/>
        <v>24.435187499999998</v>
      </c>
      <c r="I26" s="14"/>
      <c r="J26" s="14"/>
      <c r="K26" s="14">
        <f t="shared" si="4"/>
        <v>0</v>
      </c>
      <c r="L26" s="14">
        <f t="shared" si="5"/>
        <v>3.9732012195121943E-2</v>
      </c>
      <c r="M26" s="14">
        <f t="shared" si="6"/>
        <v>0.1489950457317073</v>
      </c>
      <c r="N26" s="14">
        <f t="shared" si="7"/>
        <v>7.4497522865853649E-2</v>
      </c>
      <c r="O26" s="14">
        <f t="shared" si="8"/>
        <v>0.19866006097560976</v>
      </c>
      <c r="P26" s="14">
        <f t="shared" si="9"/>
        <v>0.19866006097560976</v>
      </c>
      <c r="Q26" s="14">
        <f t="shared" si="9"/>
        <v>0.2979900914634146</v>
      </c>
      <c r="R26" s="14"/>
    </row>
    <row r="27" spans="1:18" x14ac:dyDescent="0.4">
      <c r="A27" s="2">
        <v>90</v>
      </c>
      <c r="B27" s="16">
        <f t="shared" si="11"/>
        <v>0</v>
      </c>
      <c r="C27" s="16">
        <f t="shared" si="10"/>
        <v>1.5475618749999998</v>
      </c>
      <c r="D27" s="16">
        <f t="shared" si="10"/>
        <v>3.0951237499999995</v>
      </c>
      <c r="E27" s="16">
        <f t="shared" si="10"/>
        <v>5.8033570312499991</v>
      </c>
      <c r="F27" s="16">
        <f t="shared" si="10"/>
        <v>11.606714062499998</v>
      </c>
      <c r="G27" s="16">
        <f t="shared" si="10"/>
        <v>15.475618749999999</v>
      </c>
      <c r="H27" s="16">
        <f t="shared" si="10"/>
        <v>23.213428124999997</v>
      </c>
      <c r="I27" s="14"/>
      <c r="J27" s="14"/>
      <c r="K27" s="14">
        <f t="shared" si="4"/>
        <v>0</v>
      </c>
      <c r="L27" s="14">
        <f t="shared" si="5"/>
        <v>3.4390263888888883E-2</v>
      </c>
      <c r="M27" s="14">
        <f t="shared" si="6"/>
        <v>0.12896348958333331</v>
      </c>
      <c r="N27" s="14">
        <f t="shared" si="7"/>
        <v>6.4481744791666656E-2</v>
      </c>
      <c r="O27" s="14">
        <f t="shared" si="8"/>
        <v>0.17195131944444444</v>
      </c>
      <c r="P27" s="14">
        <f t="shared" si="9"/>
        <v>0.17195131944444444</v>
      </c>
      <c r="Q27" s="14">
        <f t="shared" si="9"/>
        <v>0.25792697916666663</v>
      </c>
      <c r="R27" s="14"/>
    </row>
    <row r="28" spans="1:18" x14ac:dyDescent="0.4">
      <c r="A28" s="4"/>
      <c r="B28" s="16"/>
      <c r="C28" s="16"/>
      <c r="D28" s="16"/>
      <c r="E28" s="16"/>
      <c r="F28" s="16"/>
      <c r="G28" s="16"/>
      <c r="H28" s="16"/>
      <c r="I28" s="5"/>
      <c r="J28" s="14"/>
      <c r="K28" s="14"/>
      <c r="L28" s="14"/>
      <c r="M28" s="14"/>
      <c r="N28" s="14"/>
      <c r="O28" s="14"/>
      <c r="P28" s="14"/>
      <c r="Q28" s="14"/>
      <c r="R28" s="14"/>
    </row>
    <row r="29" spans="1:18" x14ac:dyDescent="0.4">
      <c r="A29" s="4"/>
      <c r="B29" s="16"/>
      <c r="C29" s="16"/>
      <c r="D29" s="16"/>
      <c r="E29" s="16"/>
      <c r="F29" s="16"/>
      <c r="G29" s="16"/>
      <c r="H29" s="16"/>
      <c r="I29" s="5"/>
      <c r="J29" s="14"/>
      <c r="K29" s="14"/>
      <c r="L29" s="14"/>
      <c r="M29" s="14"/>
      <c r="N29" s="14"/>
      <c r="O29" s="14"/>
      <c r="P29" s="14"/>
      <c r="Q29" s="14"/>
      <c r="R29" s="14"/>
    </row>
  </sheetData>
  <mergeCells count="6">
    <mergeCell ref="A1:Q1"/>
    <mergeCell ref="A3:H3"/>
    <mergeCell ref="K3:R3"/>
    <mergeCell ref="A17:H17"/>
    <mergeCell ref="K17:R17"/>
    <mergeCell ref="A2:H2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selection activeCell="E8" sqref="E8"/>
    </sheetView>
  </sheetViews>
  <sheetFormatPr defaultRowHeight="17.399999999999999" x14ac:dyDescent="0.4"/>
  <sheetData>
    <row r="1" spans="1:18" ht="25.2" x14ac:dyDescent="0.4">
      <c r="A1" s="25" t="s">
        <v>61</v>
      </c>
      <c r="B1" s="26"/>
      <c r="C1" s="26"/>
      <c r="D1" s="26"/>
      <c r="E1" s="26"/>
      <c r="F1" s="26"/>
      <c r="G1" s="26"/>
      <c r="H1" s="26"/>
      <c r="I1" s="14"/>
      <c r="J1" s="14"/>
      <c r="K1" s="25" t="s">
        <v>62</v>
      </c>
      <c r="L1" s="26"/>
      <c r="M1" s="26"/>
      <c r="N1" s="26"/>
      <c r="O1" s="26"/>
      <c r="P1" s="26"/>
      <c r="Q1" s="26"/>
      <c r="R1" s="26"/>
    </row>
    <row r="2" spans="1:18" x14ac:dyDescent="0.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4">
      <c r="A3" s="1" t="s">
        <v>29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31</v>
      </c>
      <c r="G3" s="14" t="s">
        <v>13</v>
      </c>
      <c r="H3" s="14" t="s">
        <v>33</v>
      </c>
      <c r="I3" s="14"/>
      <c r="J3" s="14"/>
      <c r="K3" s="14" t="s">
        <v>8</v>
      </c>
      <c r="L3" s="14" t="s">
        <v>9</v>
      </c>
      <c r="M3" s="14" t="s">
        <v>10</v>
      </c>
      <c r="N3" s="14" t="s">
        <v>11</v>
      </c>
      <c r="O3" s="14" t="s">
        <v>31</v>
      </c>
      <c r="P3" s="14" t="s">
        <v>13</v>
      </c>
      <c r="Q3" s="14" t="s">
        <v>33</v>
      </c>
      <c r="R3" s="14"/>
    </row>
    <row r="4" spans="1:18" x14ac:dyDescent="0.4">
      <c r="A4" s="3">
        <v>55</v>
      </c>
      <c r="B4" s="16"/>
      <c r="C4" s="16"/>
      <c r="D4" s="16"/>
      <c r="E4" s="16"/>
      <c r="F4" s="16"/>
      <c r="G4" s="16"/>
      <c r="H4" s="16"/>
      <c r="I4" s="14"/>
      <c r="J4" s="14"/>
      <c r="K4" s="14">
        <f t="shared" ref="K4:Q14" si="0">B4/$A4</f>
        <v>0</v>
      </c>
      <c r="L4" s="14">
        <f t="shared" si="0"/>
        <v>0</v>
      </c>
      <c r="M4" s="14">
        <f t="shared" si="0"/>
        <v>0</v>
      </c>
      <c r="N4" s="14">
        <f t="shared" si="0"/>
        <v>0</v>
      </c>
      <c r="O4" s="14">
        <f t="shared" si="0"/>
        <v>0</v>
      </c>
      <c r="P4" s="14">
        <f t="shared" si="0"/>
        <v>0</v>
      </c>
      <c r="Q4" s="14">
        <f t="shared" si="0"/>
        <v>0</v>
      </c>
      <c r="R4" s="14"/>
    </row>
    <row r="5" spans="1:18" x14ac:dyDescent="0.4">
      <c r="A5" s="3">
        <v>60</v>
      </c>
      <c r="B5" s="16"/>
      <c r="C5" s="16"/>
      <c r="D5" s="16"/>
      <c r="E5" s="16"/>
      <c r="F5" s="16"/>
      <c r="G5" s="16"/>
      <c r="H5" s="16"/>
      <c r="I5" s="14"/>
      <c r="J5" s="14"/>
      <c r="K5" s="14">
        <f t="shared" si="0"/>
        <v>0</v>
      </c>
      <c r="L5" s="14">
        <f t="shared" si="0"/>
        <v>0</v>
      </c>
      <c r="M5" s="14">
        <f t="shared" si="0"/>
        <v>0</v>
      </c>
      <c r="N5" s="14">
        <f t="shared" si="0"/>
        <v>0</v>
      </c>
      <c r="O5" s="14">
        <f t="shared" si="0"/>
        <v>0</v>
      </c>
      <c r="P5" s="14">
        <f t="shared" si="0"/>
        <v>0</v>
      </c>
      <c r="Q5" s="14">
        <f t="shared" si="0"/>
        <v>0</v>
      </c>
      <c r="R5" s="14"/>
    </row>
    <row r="6" spans="1:18" x14ac:dyDescent="0.4">
      <c r="A6" s="3">
        <v>65</v>
      </c>
      <c r="B6" s="16"/>
      <c r="C6" s="16"/>
      <c r="D6" s="16"/>
      <c r="E6" s="16"/>
      <c r="F6" s="16"/>
      <c r="G6" s="16"/>
      <c r="H6" s="16"/>
      <c r="I6" s="14"/>
      <c r="J6" s="14"/>
      <c r="K6" s="14">
        <f t="shared" si="0"/>
        <v>0</v>
      </c>
      <c r="L6" s="14">
        <f t="shared" si="0"/>
        <v>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/>
    </row>
    <row r="7" spans="1:18" x14ac:dyDescent="0.4">
      <c r="A7" s="3">
        <v>70</v>
      </c>
      <c r="B7" s="16"/>
      <c r="C7" s="16"/>
      <c r="D7" s="17"/>
      <c r="E7" s="16"/>
      <c r="F7" s="16"/>
      <c r="G7" s="16"/>
      <c r="H7" s="16"/>
      <c r="I7" s="14"/>
      <c r="J7" s="14"/>
      <c r="K7" s="14">
        <f t="shared" si="0"/>
        <v>0</v>
      </c>
      <c r="L7" s="14">
        <f t="shared" si="0"/>
        <v>0</v>
      </c>
      <c r="M7" s="14">
        <f t="shared" si="0"/>
        <v>0</v>
      </c>
      <c r="N7" s="14">
        <f t="shared" si="0"/>
        <v>0</v>
      </c>
      <c r="O7" s="14">
        <f t="shared" si="0"/>
        <v>0</v>
      </c>
      <c r="P7" s="14">
        <f t="shared" si="0"/>
        <v>0</v>
      </c>
      <c r="Q7" s="14">
        <f t="shared" si="0"/>
        <v>0</v>
      </c>
      <c r="R7" s="14"/>
    </row>
    <row r="8" spans="1:18" x14ac:dyDescent="0.4">
      <c r="A8" s="3">
        <v>75</v>
      </c>
      <c r="B8" s="18"/>
      <c r="C8" s="16"/>
      <c r="D8" s="18"/>
      <c r="E8" s="16"/>
      <c r="F8" s="16"/>
      <c r="G8" s="16"/>
      <c r="H8" s="16"/>
      <c r="I8" s="14"/>
      <c r="J8" s="14"/>
      <c r="K8" s="14">
        <f t="shared" si="0"/>
        <v>0</v>
      </c>
      <c r="L8" s="14">
        <f t="shared" si="0"/>
        <v>0</v>
      </c>
      <c r="M8" s="14">
        <f t="shared" si="0"/>
        <v>0</v>
      </c>
      <c r="N8" s="14">
        <f t="shared" si="0"/>
        <v>0</v>
      </c>
      <c r="O8" s="14">
        <f t="shared" si="0"/>
        <v>0</v>
      </c>
      <c r="P8" s="14">
        <f t="shared" si="0"/>
        <v>0</v>
      </c>
      <c r="Q8" s="14">
        <f t="shared" si="0"/>
        <v>0</v>
      </c>
      <c r="R8" s="14"/>
    </row>
    <row r="9" spans="1:18" x14ac:dyDescent="0.4">
      <c r="A9" s="3">
        <v>82</v>
      </c>
      <c r="B9" s="16"/>
      <c r="C9" s="16"/>
      <c r="D9" s="16"/>
      <c r="E9" s="16"/>
      <c r="F9" s="16"/>
      <c r="G9" s="16"/>
      <c r="H9" s="16"/>
      <c r="I9" s="14"/>
      <c r="J9" s="14"/>
      <c r="K9" s="14">
        <f t="shared" si="0"/>
        <v>0</v>
      </c>
      <c r="L9" s="14">
        <f t="shared" si="0"/>
        <v>0</v>
      </c>
      <c r="M9" s="14">
        <f t="shared" si="0"/>
        <v>0</v>
      </c>
      <c r="N9" s="14">
        <f t="shared" si="0"/>
        <v>0</v>
      </c>
      <c r="O9" s="14">
        <f t="shared" si="0"/>
        <v>0</v>
      </c>
      <c r="P9" s="14">
        <f t="shared" si="0"/>
        <v>0</v>
      </c>
      <c r="Q9" s="14">
        <f t="shared" si="0"/>
        <v>0</v>
      </c>
      <c r="R9" s="14"/>
    </row>
    <row r="10" spans="1:18" x14ac:dyDescent="0.4">
      <c r="A10" s="3">
        <v>90</v>
      </c>
      <c r="B10" s="16"/>
      <c r="C10" s="16"/>
      <c r="D10" s="16"/>
      <c r="E10" s="16"/>
      <c r="F10" s="16"/>
      <c r="G10" s="16"/>
      <c r="H10" s="16"/>
      <c r="I10" s="14"/>
      <c r="J10" s="14"/>
      <c r="K10" s="14">
        <f t="shared" si="0"/>
        <v>0</v>
      </c>
      <c r="L10" s="14">
        <f t="shared" si="0"/>
        <v>0</v>
      </c>
      <c r="M10" s="14">
        <f t="shared" si="0"/>
        <v>0</v>
      </c>
      <c r="N10" s="14">
        <f t="shared" si="0"/>
        <v>0</v>
      </c>
      <c r="O10" s="14">
        <f t="shared" si="0"/>
        <v>0</v>
      </c>
      <c r="P10" s="14">
        <f t="shared" si="0"/>
        <v>0</v>
      </c>
      <c r="Q10" s="14">
        <f t="shared" si="0"/>
        <v>0</v>
      </c>
      <c r="R10" s="14"/>
    </row>
    <row r="11" spans="1:18" x14ac:dyDescent="0.4">
      <c r="A11" s="3">
        <v>100</v>
      </c>
      <c r="B11" s="16"/>
      <c r="C11" s="16"/>
      <c r="D11" s="16"/>
      <c r="E11" s="16"/>
      <c r="F11" s="16"/>
      <c r="G11" s="16"/>
      <c r="H11" s="16"/>
      <c r="I11" s="14"/>
      <c r="J11" s="14"/>
      <c r="K11" s="14">
        <f t="shared" si="0"/>
        <v>0</v>
      </c>
      <c r="L11" s="14">
        <f t="shared" si="0"/>
        <v>0</v>
      </c>
      <c r="M11" s="14">
        <f t="shared" si="0"/>
        <v>0</v>
      </c>
      <c r="N11" s="14">
        <f t="shared" si="0"/>
        <v>0</v>
      </c>
      <c r="O11" s="14">
        <f t="shared" si="0"/>
        <v>0</v>
      </c>
      <c r="P11" s="14">
        <f t="shared" si="0"/>
        <v>0</v>
      </c>
      <c r="Q11" s="14">
        <f t="shared" si="0"/>
        <v>0</v>
      </c>
      <c r="R11" s="14"/>
    </row>
    <row r="12" spans="1:18" x14ac:dyDescent="0.4">
      <c r="A12" s="3">
        <v>110</v>
      </c>
      <c r="B12" s="16"/>
      <c r="C12" s="16"/>
      <c r="D12" s="16"/>
      <c r="E12" s="16"/>
      <c r="F12" s="16"/>
      <c r="G12" s="16"/>
      <c r="H12" s="16"/>
      <c r="I12" s="14"/>
      <c r="J12" s="14"/>
      <c r="K12" s="14">
        <f t="shared" si="0"/>
        <v>0</v>
      </c>
      <c r="L12" s="14">
        <f t="shared" si="0"/>
        <v>0</v>
      </c>
      <c r="M12" s="14">
        <f t="shared" si="0"/>
        <v>0</v>
      </c>
      <c r="N12" s="14">
        <f t="shared" si="0"/>
        <v>0</v>
      </c>
      <c r="O12" s="14">
        <f t="shared" si="0"/>
        <v>0</v>
      </c>
      <c r="P12" s="14">
        <f t="shared" si="0"/>
        <v>0</v>
      </c>
      <c r="Q12" s="14">
        <f t="shared" si="0"/>
        <v>0</v>
      </c>
      <c r="R12" s="14"/>
    </row>
    <row r="13" spans="1:18" x14ac:dyDescent="0.4">
      <c r="A13" s="3">
        <v>120</v>
      </c>
      <c r="B13" s="16"/>
      <c r="C13" s="16"/>
      <c r="D13" s="16"/>
      <c r="E13" s="16"/>
      <c r="F13" s="16"/>
      <c r="G13" s="16"/>
      <c r="H13" s="16"/>
      <c r="I13" s="14"/>
      <c r="J13" s="14"/>
      <c r="K13" s="14">
        <f t="shared" si="0"/>
        <v>0</v>
      </c>
      <c r="L13" s="14">
        <f t="shared" si="0"/>
        <v>0</v>
      </c>
      <c r="M13" s="14">
        <f t="shared" si="0"/>
        <v>0</v>
      </c>
      <c r="N13" s="14">
        <f t="shared" si="0"/>
        <v>0</v>
      </c>
      <c r="O13" s="14">
        <f t="shared" si="0"/>
        <v>0</v>
      </c>
      <c r="P13" s="14">
        <f t="shared" si="0"/>
        <v>0</v>
      </c>
      <c r="Q13" s="14">
        <f t="shared" si="0"/>
        <v>0</v>
      </c>
      <c r="R13" s="14"/>
    </row>
    <row r="14" spans="1:18" x14ac:dyDescent="0.4">
      <c r="A14" s="3">
        <v>130</v>
      </c>
      <c r="B14" s="16"/>
      <c r="C14" s="16"/>
      <c r="D14" s="16"/>
      <c r="E14" s="16"/>
      <c r="F14" s="16"/>
      <c r="G14" s="16"/>
      <c r="H14" s="16"/>
      <c r="I14" s="14"/>
      <c r="J14" s="14"/>
      <c r="K14" s="14">
        <f t="shared" si="0"/>
        <v>0</v>
      </c>
      <c r="L14" s="14">
        <f t="shared" si="0"/>
        <v>0</v>
      </c>
      <c r="M14" s="14">
        <f t="shared" si="0"/>
        <v>0</v>
      </c>
      <c r="N14" s="14">
        <f t="shared" si="0"/>
        <v>0</v>
      </c>
      <c r="O14" s="14">
        <f t="shared" si="0"/>
        <v>0</v>
      </c>
      <c r="P14" s="14">
        <f t="shared" si="0"/>
        <v>0</v>
      </c>
      <c r="Q14" s="14">
        <f t="shared" si="0"/>
        <v>0</v>
      </c>
      <c r="R14" s="14"/>
    </row>
    <row r="15" spans="1:18" x14ac:dyDescent="0.4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 x14ac:dyDescent="0.4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x14ac:dyDescent="0.4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 x14ac:dyDescent="0.4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 x14ac:dyDescent="0.4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 ht="27.6" x14ac:dyDescent="0.4">
      <c r="A20" s="25" t="s">
        <v>63</v>
      </c>
      <c r="B20" s="26"/>
      <c r="C20" s="26"/>
      <c r="D20" s="26"/>
      <c r="E20" s="26"/>
      <c r="F20" s="26"/>
      <c r="G20" s="26"/>
      <c r="H20" s="26"/>
      <c r="I20" s="14"/>
      <c r="J20" s="14"/>
      <c r="K20" s="27" t="s">
        <v>64</v>
      </c>
      <c r="L20" s="28"/>
      <c r="M20" s="28"/>
      <c r="N20" s="28"/>
      <c r="O20" s="28"/>
      <c r="P20" s="28"/>
      <c r="Q20" s="28"/>
      <c r="R20" s="28"/>
    </row>
    <row r="21" spans="1:18" x14ac:dyDescent="0.4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x14ac:dyDescent="0.4">
      <c r="A22" s="1" t="s">
        <v>29</v>
      </c>
      <c r="B22" s="14" t="s">
        <v>8</v>
      </c>
      <c r="C22" s="14" t="s">
        <v>9</v>
      </c>
      <c r="D22" s="14" t="s">
        <v>10</v>
      </c>
      <c r="E22" s="14" t="s">
        <v>11</v>
      </c>
      <c r="F22" s="14" t="s">
        <v>31</v>
      </c>
      <c r="G22" s="14" t="s">
        <v>13</v>
      </c>
      <c r="H22" s="14" t="s">
        <v>33</v>
      </c>
      <c r="I22" s="14"/>
      <c r="J22" s="14"/>
      <c r="K22" s="14" t="s">
        <v>8</v>
      </c>
      <c r="L22" s="14" t="s">
        <v>9</v>
      </c>
      <c r="M22" s="14" t="s">
        <v>10</v>
      </c>
      <c r="N22" s="14" t="s">
        <v>11</v>
      </c>
      <c r="O22" s="14" t="s">
        <v>31</v>
      </c>
      <c r="P22" s="14" t="s">
        <v>13</v>
      </c>
      <c r="Q22" s="14" t="s">
        <v>33</v>
      </c>
      <c r="R22" s="14"/>
    </row>
    <row r="23" spans="1:18" x14ac:dyDescent="0.4">
      <c r="A23" s="2">
        <v>44</v>
      </c>
      <c r="B23" s="16">
        <f t="shared" ref="B23:H33" si="1">B4/2</f>
        <v>0</v>
      </c>
      <c r="C23" s="16">
        <f t="shared" si="1"/>
        <v>0</v>
      </c>
      <c r="D23" s="16">
        <f t="shared" si="1"/>
        <v>0</v>
      </c>
      <c r="E23" s="16">
        <f t="shared" si="1"/>
        <v>0</v>
      </c>
      <c r="F23" s="16">
        <f t="shared" si="1"/>
        <v>0</v>
      </c>
      <c r="G23" s="16">
        <f t="shared" si="1"/>
        <v>0</v>
      </c>
      <c r="H23" s="16">
        <f t="shared" si="1"/>
        <v>0</v>
      </c>
      <c r="I23" s="14"/>
      <c r="J23" s="14"/>
      <c r="K23" s="14">
        <f>B23/$A23</f>
        <v>0</v>
      </c>
      <c r="L23" s="14">
        <f>D23/$A23</f>
        <v>0</v>
      </c>
      <c r="M23" s="14">
        <f>F23/$A23</f>
        <v>0</v>
      </c>
      <c r="N23" s="14">
        <f>E23/$A23</f>
        <v>0</v>
      </c>
      <c r="O23" s="14">
        <f>G23/$A23</f>
        <v>0</v>
      </c>
      <c r="P23" s="14">
        <f>G23/$A23</f>
        <v>0</v>
      </c>
      <c r="Q23" s="14">
        <f>H23/$A23</f>
        <v>0</v>
      </c>
      <c r="R23" s="14"/>
    </row>
    <row r="24" spans="1:18" x14ac:dyDescent="0.4">
      <c r="A24" s="2">
        <v>48</v>
      </c>
      <c r="B24" s="16">
        <f t="shared" si="1"/>
        <v>0</v>
      </c>
      <c r="C24" s="16">
        <f t="shared" si="1"/>
        <v>0</v>
      </c>
      <c r="D24" s="16">
        <f t="shared" si="1"/>
        <v>0</v>
      </c>
      <c r="E24" s="16">
        <f t="shared" si="1"/>
        <v>0</v>
      </c>
      <c r="F24" s="16">
        <f t="shared" si="1"/>
        <v>0</v>
      </c>
      <c r="G24" s="16">
        <f t="shared" si="1"/>
        <v>0</v>
      </c>
      <c r="H24" s="16">
        <f t="shared" si="1"/>
        <v>0</v>
      </c>
      <c r="I24" s="14"/>
      <c r="J24" s="14"/>
      <c r="K24" s="14">
        <f t="shared" ref="K24:K31" si="2">B24/$A24</f>
        <v>0</v>
      </c>
      <c r="L24" s="14">
        <f t="shared" ref="L24:L31" si="3">D24/$A24</f>
        <v>0</v>
      </c>
      <c r="M24" s="14">
        <f t="shared" ref="M24:M31" si="4">F24/$A24</f>
        <v>0</v>
      </c>
      <c r="N24" s="14">
        <f t="shared" ref="N24:N31" si="5">E24/$A24</f>
        <v>0</v>
      </c>
      <c r="O24" s="14">
        <f t="shared" ref="O24:O31" si="6">G24/$A24</f>
        <v>0</v>
      </c>
      <c r="P24" s="14">
        <f t="shared" ref="P24:Q31" si="7">G24/$A24</f>
        <v>0</v>
      </c>
      <c r="Q24" s="14">
        <f t="shared" si="7"/>
        <v>0</v>
      </c>
      <c r="R24" s="14"/>
    </row>
    <row r="25" spans="1:18" x14ac:dyDescent="0.4">
      <c r="A25" s="2">
        <v>52</v>
      </c>
      <c r="B25" s="16">
        <f t="shared" si="1"/>
        <v>0</v>
      </c>
      <c r="C25" s="16">
        <f t="shared" si="1"/>
        <v>0</v>
      </c>
      <c r="D25" s="16">
        <f t="shared" si="1"/>
        <v>0</v>
      </c>
      <c r="E25" s="16">
        <f t="shared" si="1"/>
        <v>0</v>
      </c>
      <c r="F25" s="16">
        <f t="shared" si="1"/>
        <v>0</v>
      </c>
      <c r="G25" s="16">
        <f t="shared" si="1"/>
        <v>0</v>
      </c>
      <c r="H25" s="16">
        <f t="shared" si="1"/>
        <v>0</v>
      </c>
      <c r="I25" s="14"/>
      <c r="J25" s="14"/>
      <c r="K25" s="14">
        <f t="shared" si="2"/>
        <v>0</v>
      </c>
      <c r="L25" s="14">
        <f t="shared" si="3"/>
        <v>0</v>
      </c>
      <c r="M25" s="14">
        <f t="shared" si="4"/>
        <v>0</v>
      </c>
      <c r="N25" s="14">
        <f t="shared" si="5"/>
        <v>0</v>
      </c>
      <c r="O25" s="14">
        <f t="shared" si="6"/>
        <v>0</v>
      </c>
      <c r="P25" s="14">
        <f t="shared" si="7"/>
        <v>0</v>
      </c>
      <c r="Q25" s="14">
        <f t="shared" si="7"/>
        <v>0</v>
      </c>
      <c r="R25" s="14"/>
    </row>
    <row r="26" spans="1:18" x14ac:dyDescent="0.4">
      <c r="A26" s="2">
        <v>56</v>
      </c>
      <c r="B26" s="16">
        <f t="shared" si="1"/>
        <v>0</v>
      </c>
      <c r="C26" s="16">
        <f t="shared" si="1"/>
        <v>0</v>
      </c>
      <c r="D26" s="16">
        <f t="shared" si="1"/>
        <v>0</v>
      </c>
      <c r="E26" s="16">
        <f t="shared" si="1"/>
        <v>0</v>
      </c>
      <c r="F26" s="16">
        <f t="shared" si="1"/>
        <v>0</v>
      </c>
      <c r="G26" s="16">
        <f t="shared" si="1"/>
        <v>0</v>
      </c>
      <c r="H26" s="16">
        <f t="shared" si="1"/>
        <v>0</v>
      </c>
      <c r="I26" s="14"/>
      <c r="J26" s="14"/>
      <c r="K26" s="14">
        <f t="shared" si="2"/>
        <v>0</v>
      </c>
      <c r="L26" s="14">
        <f t="shared" si="3"/>
        <v>0</v>
      </c>
      <c r="M26" s="14">
        <f t="shared" si="4"/>
        <v>0</v>
      </c>
      <c r="N26" s="14">
        <f t="shared" si="5"/>
        <v>0</v>
      </c>
      <c r="O26" s="14">
        <f t="shared" si="6"/>
        <v>0</v>
      </c>
      <c r="P26" s="14">
        <f t="shared" si="7"/>
        <v>0</v>
      </c>
      <c r="Q26" s="14">
        <f t="shared" si="7"/>
        <v>0</v>
      </c>
      <c r="R26" s="14"/>
    </row>
    <row r="27" spans="1:18" x14ac:dyDescent="0.4">
      <c r="A27" s="2">
        <v>60</v>
      </c>
      <c r="B27" s="16">
        <f t="shared" si="1"/>
        <v>0</v>
      </c>
      <c r="C27" s="16">
        <f t="shared" si="1"/>
        <v>0</v>
      </c>
      <c r="D27" s="16">
        <f t="shared" si="1"/>
        <v>0</v>
      </c>
      <c r="E27" s="16">
        <f t="shared" si="1"/>
        <v>0</v>
      </c>
      <c r="F27" s="16">
        <f t="shared" si="1"/>
        <v>0</v>
      </c>
      <c r="G27" s="16">
        <f t="shared" si="1"/>
        <v>0</v>
      </c>
      <c r="H27" s="16">
        <f t="shared" si="1"/>
        <v>0</v>
      </c>
      <c r="I27" s="14"/>
      <c r="J27" s="14"/>
      <c r="K27" s="14">
        <f t="shared" si="2"/>
        <v>0</v>
      </c>
      <c r="L27" s="14">
        <f t="shared" si="3"/>
        <v>0</v>
      </c>
      <c r="M27" s="14">
        <f t="shared" si="4"/>
        <v>0</v>
      </c>
      <c r="N27" s="14">
        <f t="shared" si="5"/>
        <v>0</v>
      </c>
      <c r="O27" s="14">
        <f t="shared" si="6"/>
        <v>0</v>
      </c>
      <c r="P27" s="14">
        <f t="shared" si="7"/>
        <v>0</v>
      </c>
      <c r="Q27" s="14">
        <f t="shared" si="7"/>
        <v>0</v>
      </c>
      <c r="R27" s="14"/>
    </row>
    <row r="28" spans="1:18" x14ac:dyDescent="0.4">
      <c r="A28" s="2">
        <v>67</v>
      </c>
      <c r="B28" s="16">
        <f t="shared" si="1"/>
        <v>0</v>
      </c>
      <c r="C28" s="16">
        <f t="shared" si="1"/>
        <v>0</v>
      </c>
      <c r="D28" s="16">
        <f t="shared" si="1"/>
        <v>0</v>
      </c>
      <c r="E28" s="16">
        <f t="shared" si="1"/>
        <v>0</v>
      </c>
      <c r="F28" s="16">
        <f t="shared" si="1"/>
        <v>0</v>
      </c>
      <c r="G28" s="16">
        <f t="shared" si="1"/>
        <v>0</v>
      </c>
      <c r="H28" s="16">
        <f t="shared" si="1"/>
        <v>0</v>
      </c>
      <c r="I28" s="14"/>
      <c r="J28" s="14"/>
      <c r="K28" s="14">
        <f t="shared" si="2"/>
        <v>0</v>
      </c>
      <c r="L28" s="14">
        <f t="shared" si="3"/>
        <v>0</v>
      </c>
      <c r="M28" s="14">
        <f t="shared" si="4"/>
        <v>0</v>
      </c>
      <c r="N28" s="14">
        <f t="shared" si="5"/>
        <v>0</v>
      </c>
      <c r="O28" s="14">
        <f t="shared" si="6"/>
        <v>0</v>
      </c>
      <c r="P28" s="14">
        <f t="shared" si="7"/>
        <v>0</v>
      </c>
      <c r="Q28" s="14">
        <f t="shared" si="7"/>
        <v>0</v>
      </c>
      <c r="R28" s="14"/>
    </row>
    <row r="29" spans="1:18" x14ac:dyDescent="0.4">
      <c r="A29" s="2">
        <v>75</v>
      </c>
      <c r="B29" s="16">
        <f t="shared" si="1"/>
        <v>0</v>
      </c>
      <c r="C29" s="16">
        <f t="shared" si="1"/>
        <v>0</v>
      </c>
      <c r="D29" s="16">
        <f t="shared" si="1"/>
        <v>0</v>
      </c>
      <c r="E29" s="16">
        <f t="shared" si="1"/>
        <v>0</v>
      </c>
      <c r="F29" s="16">
        <f t="shared" si="1"/>
        <v>0</v>
      </c>
      <c r="G29" s="16">
        <f t="shared" si="1"/>
        <v>0</v>
      </c>
      <c r="H29" s="16">
        <f t="shared" si="1"/>
        <v>0</v>
      </c>
      <c r="I29" s="14"/>
      <c r="J29" s="14"/>
      <c r="K29" s="14">
        <f t="shared" si="2"/>
        <v>0</v>
      </c>
      <c r="L29" s="14">
        <f t="shared" si="3"/>
        <v>0</v>
      </c>
      <c r="M29" s="14">
        <f t="shared" si="4"/>
        <v>0</v>
      </c>
      <c r="N29" s="14">
        <f t="shared" si="5"/>
        <v>0</v>
      </c>
      <c r="O29" s="14">
        <f t="shared" si="6"/>
        <v>0</v>
      </c>
      <c r="P29" s="14">
        <f t="shared" si="7"/>
        <v>0</v>
      </c>
      <c r="Q29" s="14">
        <f t="shared" si="7"/>
        <v>0</v>
      </c>
      <c r="R29" s="14"/>
    </row>
    <row r="30" spans="1:18" x14ac:dyDescent="0.4">
      <c r="A30" s="2">
        <v>82</v>
      </c>
      <c r="B30" s="16">
        <f t="shared" si="1"/>
        <v>0</v>
      </c>
      <c r="C30" s="16">
        <f t="shared" si="1"/>
        <v>0</v>
      </c>
      <c r="D30" s="16">
        <f t="shared" si="1"/>
        <v>0</v>
      </c>
      <c r="E30" s="16">
        <f t="shared" si="1"/>
        <v>0</v>
      </c>
      <c r="F30" s="16">
        <f t="shared" si="1"/>
        <v>0</v>
      </c>
      <c r="G30" s="16">
        <f t="shared" si="1"/>
        <v>0</v>
      </c>
      <c r="H30" s="16">
        <f t="shared" si="1"/>
        <v>0</v>
      </c>
      <c r="I30" s="14"/>
      <c r="J30" s="14"/>
      <c r="K30" s="14">
        <f t="shared" si="2"/>
        <v>0</v>
      </c>
      <c r="L30" s="14">
        <f t="shared" si="3"/>
        <v>0</v>
      </c>
      <c r="M30" s="14">
        <f t="shared" si="4"/>
        <v>0</v>
      </c>
      <c r="N30" s="14">
        <f t="shared" si="5"/>
        <v>0</v>
      </c>
      <c r="O30" s="14">
        <f t="shared" si="6"/>
        <v>0</v>
      </c>
      <c r="P30" s="14">
        <f t="shared" si="7"/>
        <v>0</v>
      </c>
      <c r="Q30" s="14">
        <f t="shared" si="7"/>
        <v>0</v>
      </c>
      <c r="R30" s="14"/>
    </row>
    <row r="31" spans="1:18" x14ac:dyDescent="0.4">
      <c r="A31" s="2">
        <v>90</v>
      </c>
      <c r="B31" s="16">
        <f t="shared" si="1"/>
        <v>0</v>
      </c>
      <c r="C31" s="16">
        <f t="shared" si="1"/>
        <v>0</v>
      </c>
      <c r="D31" s="16">
        <f t="shared" si="1"/>
        <v>0</v>
      </c>
      <c r="E31" s="16">
        <f t="shared" si="1"/>
        <v>0</v>
      </c>
      <c r="F31" s="16">
        <f t="shared" si="1"/>
        <v>0</v>
      </c>
      <c r="G31" s="16">
        <f t="shared" si="1"/>
        <v>0</v>
      </c>
      <c r="H31" s="16">
        <f t="shared" si="1"/>
        <v>0</v>
      </c>
      <c r="I31" s="14"/>
      <c r="J31" s="14"/>
      <c r="K31" s="14">
        <f t="shared" si="2"/>
        <v>0</v>
      </c>
      <c r="L31" s="14">
        <f t="shared" si="3"/>
        <v>0</v>
      </c>
      <c r="M31" s="14">
        <f t="shared" si="4"/>
        <v>0</v>
      </c>
      <c r="N31" s="14">
        <f t="shared" si="5"/>
        <v>0</v>
      </c>
      <c r="O31" s="14">
        <f t="shared" si="6"/>
        <v>0</v>
      </c>
      <c r="P31" s="14">
        <f t="shared" si="7"/>
        <v>0</v>
      </c>
      <c r="Q31" s="14">
        <f t="shared" si="7"/>
        <v>0</v>
      </c>
      <c r="R31" s="14"/>
    </row>
    <row r="32" spans="1:18" x14ac:dyDescent="0.4">
      <c r="A32" s="4"/>
      <c r="B32" s="16">
        <f t="shared" si="1"/>
        <v>0</v>
      </c>
      <c r="C32" s="16">
        <f t="shared" si="1"/>
        <v>0</v>
      </c>
      <c r="D32" s="16">
        <f t="shared" si="1"/>
        <v>0</v>
      </c>
      <c r="E32" s="16">
        <f t="shared" si="1"/>
        <v>0</v>
      </c>
      <c r="F32" s="16">
        <f t="shared" si="1"/>
        <v>0</v>
      </c>
      <c r="G32" s="16">
        <f t="shared" si="1"/>
        <v>0</v>
      </c>
      <c r="H32" s="16">
        <f t="shared" si="1"/>
        <v>0</v>
      </c>
      <c r="I32" s="5"/>
      <c r="J32" s="14"/>
      <c r="K32" s="14"/>
      <c r="L32" s="14"/>
      <c r="M32" s="14"/>
      <c r="N32" s="14"/>
      <c r="O32" s="14"/>
      <c r="P32" s="14"/>
      <c r="Q32" s="14"/>
      <c r="R32" s="14"/>
    </row>
    <row r="33" spans="1:18" x14ac:dyDescent="0.4">
      <c r="A33" s="4"/>
      <c r="B33" s="16">
        <f t="shared" si="1"/>
        <v>0</v>
      </c>
      <c r="C33" s="16">
        <f t="shared" si="1"/>
        <v>0</v>
      </c>
      <c r="D33" s="16">
        <f t="shared" si="1"/>
        <v>0</v>
      </c>
      <c r="E33" s="16">
        <f t="shared" si="1"/>
        <v>0</v>
      </c>
      <c r="F33" s="16">
        <f t="shared" si="1"/>
        <v>0</v>
      </c>
      <c r="G33" s="16">
        <f t="shared" si="1"/>
        <v>0</v>
      </c>
      <c r="H33" s="16">
        <f t="shared" si="1"/>
        <v>0</v>
      </c>
      <c r="I33" s="5"/>
      <c r="J33" s="14"/>
      <c r="K33" s="14"/>
      <c r="L33" s="14"/>
      <c r="M33" s="14"/>
      <c r="N33" s="14"/>
      <c r="O33" s="14"/>
      <c r="P33" s="14"/>
      <c r="Q33" s="14"/>
      <c r="R33" s="14"/>
    </row>
    <row r="34" spans="1:18" x14ac:dyDescent="0.4">
      <c r="A34" s="5"/>
      <c r="B34" s="5"/>
      <c r="C34" s="5"/>
      <c r="D34" s="5"/>
      <c r="E34" s="5"/>
      <c r="F34" s="5"/>
      <c r="G34" s="5"/>
      <c r="H34" s="5"/>
      <c r="I34" s="14"/>
      <c r="J34" s="14"/>
      <c r="K34" s="14"/>
      <c r="L34" s="14"/>
      <c r="M34" s="14"/>
      <c r="N34" s="14"/>
      <c r="O34" s="14"/>
      <c r="P34" s="14"/>
      <c r="Q34" s="14"/>
      <c r="R34" s="14"/>
    </row>
  </sheetData>
  <mergeCells count="4">
    <mergeCell ref="A1:H1"/>
    <mergeCell ref="K1:R1"/>
    <mergeCell ref="A20:H20"/>
    <mergeCell ref="K20:R20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9"/>
  <sheetViews>
    <sheetView topLeftCell="A2" zoomScale="94" zoomScaleNormal="94" workbookViewId="0">
      <selection activeCell="J17" sqref="J17"/>
    </sheetView>
  </sheetViews>
  <sheetFormatPr defaultRowHeight="17.399999999999999" x14ac:dyDescent="0.4"/>
  <sheetData>
    <row r="2" spans="1:18" ht="25.2" x14ac:dyDescent="0.4">
      <c r="A2" s="29" t="s">
        <v>131</v>
      </c>
      <c r="B2" s="30"/>
      <c r="C2" s="30"/>
      <c r="D2" s="30"/>
      <c r="E2" s="30"/>
      <c r="F2" s="30"/>
      <c r="G2" s="30"/>
      <c r="H2" s="30"/>
    </row>
    <row r="3" spans="1:18" ht="25.2" x14ac:dyDescent="0.4">
      <c r="A3" s="25" t="s">
        <v>153</v>
      </c>
      <c r="B3" s="26"/>
      <c r="C3" s="26"/>
      <c r="D3" s="26"/>
      <c r="E3" s="26"/>
      <c r="F3" s="26"/>
      <c r="G3" s="26"/>
      <c r="H3" s="26"/>
      <c r="K3" s="25" t="s">
        <v>154</v>
      </c>
      <c r="L3" s="26"/>
      <c r="M3" s="26"/>
      <c r="N3" s="26"/>
      <c r="O3" s="26"/>
      <c r="P3" s="26"/>
      <c r="Q3" s="26"/>
      <c r="R3" s="26"/>
    </row>
    <row r="4" spans="1:18" x14ac:dyDescent="0.4">
      <c r="A4" s="1" t="s">
        <v>29</v>
      </c>
      <c r="B4" t="s">
        <v>30</v>
      </c>
      <c r="C4" t="s">
        <v>9</v>
      </c>
      <c r="D4" t="s">
        <v>10</v>
      </c>
      <c r="E4" t="s">
        <v>11</v>
      </c>
      <c r="F4" t="s">
        <v>31</v>
      </c>
      <c r="G4" t="s">
        <v>32</v>
      </c>
      <c r="H4" t="s">
        <v>33</v>
      </c>
      <c r="K4" t="s">
        <v>30</v>
      </c>
      <c r="L4" t="s">
        <v>9</v>
      </c>
      <c r="M4" t="s">
        <v>10</v>
      </c>
      <c r="N4" t="s">
        <v>34</v>
      </c>
      <c r="O4" t="s">
        <v>35</v>
      </c>
      <c r="P4" t="s">
        <v>32</v>
      </c>
      <c r="Q4" t="s">
        <v>33</v>
      </c>
    </row>
    <row r="5" spans="1:18" x14ac:dyDescent="0.4">
      <c r="A5" s="3">
        <v>55</v>
      </c>
      <c r="B5" s="16">
        <f t="shared" ref="B5:B6" si="0">B6*0.95</f>
        <v>42.868749999999999</v>
      </c>
      <c r="C5" s="16">
        <f t="shared" ref="C5:C6" si="1">C6*0.95</f>
        <v>68.59</v>
      </c>
      <c r="D5" s="16">
        <f t="shared" ref="D5:D6" si="2">D6*0.95</f>
        <v>81.450624999999988</v>
      </c>
      <c r="E5" s="16">
        <f t="shared" ref="E5:E6" si="3">E6*0.95</f>
        <v>90.881749999999968</v>
      </c>
      <c r="F5" s="16">
        <f t="shared" ref="F5:F6" si="4">F6*0.95</f>
        <v>96.025999999999982</v>
      </c>
      <c r="G5" s="16">
        <f t="shared" ref="G5:G6" si="5">G6*0.95</f>
        <v>102.88499999999999</v>
      </c>
      <c r="H5" s="16">
        <f t="shared" ref="H5:H6" si="6">H6*0.95</f>
        <v>111.45874999999998</v>
      </c>
      <c r="K5">
        <f t="shared" ref="K5:K15" si="7">B5/$A5</f>
        <v>0.77943181818181817</v>
      </c>
      <c r="L5">
        <f t="shared" ref="L5:L15" si="8">C5/$A5</f>
        <v>1.2470909090909092</v>
      </c>
      <c r="M5">
        <f t="shared" ref="M5:M15" si="9">D5/$A5</f>
        <v>1.4809204545454544</v>
      </c>
      <c r="N5">
        <f t="shared" ref="N5:N15" si="10">E5/$A5</f>
        <v>1.652395454545454</v>
      </c>
      <c r="O5">
        <f t="shared" ref="O5:O15" si="11">F5/$A5</f>
        <v>1.7459272727272723</v>
      </c>
      <c r="P5">
        <f t="shared" ref="P5:P15" si="12">G5/$A5</f>
        <v>1.8706363636363634</v>
      </c>
      <c r="Q5">
        <f t="shared" ref="Q5:Q15" si="13">H5/$A5</f>
        <v>2.0265227272727269</v>
      </c>
    </row>
    <row r="6" spans="1:18" x14ac:dyDescent="0.4">
      <c r="A6" s="3">
        <v>60</v>
      </c>
      <c r="B6" s="16">
        <f t="shared" si="0"/>
        <v>45.125</v>
      </c>
      <c r="C6" s="16">
        <f t="shared" si="1"/>
        <v>72.2</v>
      </c>
      <c r="D6" s="16">
        <f t="shared" si="2"/>
        <v>85.737499999999997</v>
      </c>
      <c r="E6" s="16">
        <f t="shared" si="3"/>
        <v>95.664999999999978</v>
      </c>
      <c r="F6" s="16">
        <f t="shared" si="4"/>
        <v>101.07999999999998</v>
      </c>
      <c r="G6" s="16">
        <f t="shared" si="5"/>
        <v>108.3</v>
      </c>
      <c r="H6" s="16">
        <f t="shared" si="6"/>
        <v>117.32499999999999</v>
      </c>
      <c r="K6">
        <f t="shared" si="7"/>
        <v>0.75208333333333333</v>
      </c>
      <c r="L6">
        <f t="shared" si="8"/>
        <v>1.2033333333333334</v>
      </c>
      <c r="M6">
        <f t="shared" si="9"/>
        <v>1.4289583333333333</v>
      </c>
      <c r="N6">
        <f t="shared" si="10"/>
        <v>1.5944166666666664</v>
      </c>
      <c r="O6">
        <f t="shared" si="11"/>
        <v>1.6846666666666663</v>
      </c>
      <c r="P6">
        <f t="shared" si="12"/>
        <v>1.8049999999999999</v>
      </c>
      <c r="Q6">
        <f t="shared" si="13"/>
        <v>1.9554166666666666</v>
      </c>
    </row>
    <row r="7" spans="1:18" x14ac:dyDescent="0.4">
      <c r="A7" s="3">
        <v>65</v>
      </c>
      <c r="B7" s="16">
        <f>B8*0.95</f>
        <v>47.5</v>
      </c>
      <c r="C7" s="16">
        <f t="shared" ref="C7:H7" si="14">C8*0.95</f>
        <v>76</v>
      </c>
      <c r="D7" s="16">
        <f t="shared" si="14"/>
        <v>90.25</v>
      </c>
      <c r="E7" s="16">
        <f t="shared" si="14"/>
        <v>100.69999999999999</v>
      </c>
      <c r="F7" s="16">
        <f t="shared" si="14"/>
        <v>106.39999999999999</v>
      </c>
      <c r="G7" s="16">
        <f t="shared" si="14"/>
        <v>114</v>
      </c>
      <c r="H7" s="16">
        <f t="shared" si="14"/>
        <v>123.5</v>
      </c>
      <c r="K7">
        <f t="shared" si="7"/>
        <v>0.73076923076923073</v>
      </c>
      <c r="L7">
        <f t="shared" si="8"/>
        <v>1.1692307692307693</v>
      </c>
      <c r="M7">
        <f t="shared" si="9"/>
        <v>1.3884615384615384</v>
      </c>
      <c r="N7">
        <f t="shared" si="10"/>
        <v>1.549230769230769</v>
      </c>
      <c r="O7">
        <f t="shared" si="11"/>
        <v>1.6369230769230767</v>
      </c>
      <c r="P7">
        <f t="shared" si="12"/>
        <v>1.7538461538461538</v>
      </c>
      <c r="Q7">
        <f t="shared" si="13"/>
        <v>1.9</v>
      </c>
    </row>
    <row r="8" spans="1:18" x14ac:dyDescent="0.4">
      <c r="A8" s="3">
        <v>70</v>
      </c>
      <c r="B8" s="16">
        <v>50</v>
      </c>
      <c r="C8" s="16">
        <v>80</v>
      </c>
      <c r="D8" s="16">
        <v>95</v>
      </c>
      <c r="E8" s="16">
        <v>106</v>
      </c>
      <c r="F8" s="16">
        <v>112</v>
      </c>
      <c r="G8" s="16">
        <v>120</v>
      </c>
      <c r="H8" s="16">
        <v>130</v>
      </c>
      <c r="K8">
        <f t="shared" si="7"/>
        <v>0.7142857142857143</v>
      </c>
      <c r="L8">
        <f t="shared" si="8"/>
        <v>1.1428571428571428</v>
      </c>
      <c r="M8">
        <f t="shared" si="9"/>
        <v>1.3571428571428572</v>
      </c>
      <c r="N8">
        <f t="shared" si="10"/>
        <v>1.5142857142857142</v>
      </c>
      <c r="O8">
        <f t="shared" si="11"/>
        <v>1.6</v>
      </c>
      <c r="P8">
        <f t="shared" si="12"/>
        <v>1.7142857142857142</v>
      </c>
      <c r="Q8">
        <f t="shared" si="13"/>
        <v>1.8571428571428572</v>
      </c>
    </row>
    <row r="9" spans="1:18" x14ac:dyDescent="0.4">
      <c r="A9" s="3">
        <v>75</v>
      </c>
      <c r="B9" s="18">
        <f>B8*0.95</f>
        <v>47.5</v>
      </c>
      <c r="C9" s="18">
        <f t="shared" ref="C9:H9" si="15">C8*0.95</f>
        <v>76</v>
      </c>
      <c r="D9" s="18">
        <f t="shared" si="15"/>
        <v>90.25</v>
      </c>
      <c r="E9" s="18">
        <f t="shared" si="15"/>
        <v>100.69999999999999</v>
      </c>
      <c r="F9" s="18">
        <f t="shared" si="15"/>
        <v>106.39999999999999</v>
      </c>
      <c r="G9" s="18">
        <f t="shared" si="15"/>
        <v>114</v>
      </c>
      <c r="H9" s="18">
        <f t="shared" si="15"/>
        <v>123.5</v>
      </c>
      <c r="K9">
        <f t="shared" si="7"/>
        <v>0.6333333333333333</v>
      </c>
      <c r="L9">
        <f t="shared" si="8"/>
        <v>1.0133333333333334</v>
      </c>
      <c r="M9">
        <f t="shared" si="9"/>
        <v>1.2033333333333334</v>
      </c>
      <c r="N9">
        <f t="shared" si="10"/>
        <v>1.3426666666666665</v>
      </c>
      <c r="O9">
        <f t="shared" si="11"/>
        <v>1.4186666666666665</v>
      </c>
      <c r="P9">
        <f t="shared" si="12"/>
        <v>1.52</v>
      </c>
      <c r="Q9">
        <f t="shared" si="13"/>
        <v>1.6466666666666667</v>
      </c>
    </row>
    <row r="10" spans="1:18" x14ac:dyDescent="0.4">
      <c r="A10" s="3">
        <v>82</v>
      </c>
      <c r="B10" s="18">
        <f t="shared" ref="B10:B15" si="16">B9*0.95</f>
        <v>45.125</v>
      </c>
      <c r="C10" s="18">
        <f t="shared" ref="C10:C15" si="17">C9*0.95</f>
        <v>72.2</v>
      </c>
      <c r="D10" s="18">
        <f t="shared" ref="D10:D15" si="18">D9*0.95</f>
        <v>85.737499999999997</v>
      </c>
      <c r="E10" s="18">
        <f t="shared" ref="E10:E15" si="19">E9*0.95</f>
        <v>95.664999999999978</v>
      </c>
      <c r="F10" s="18">
        <f t="shared" ref="F10:F15" si="20">F9*0.95</f>
        <v>101.07999999999998</v>
      </c>
      <c r="G10" s="18">
        <f t="shared" ref="G10:G15" si="21">G9*0.95</f>
        <v>108.3</v>
      </c>
      <c r="H10" s="18">
        <f t="shared" ref="H10:H15" si="22">H9*0.95</f>
        <v>117.32499999999999</v>
      </c>
      <c r="K10">
        <f t="shared" si="7"/>
        <v>0.55030487804878048</v>
      </c>
      <c r="L10">
        <f t="shared" si="8"/>
        <v>0.88048780487804879</v>
      </c>
      <c r="M10">
        <f t="shared" si="9"/>
        <v>1.045579268292683</v>
      </c>
      <c r="N10">
        <f t="shared" si="10"/>
        <v>1.1666463414634143</v>
      </c>
      <c r="O10">
        <f t="shared" si="11"/>
        <v>1.2326829268292681</v>
      </c>
      <c r="P10">
        <f t="shared" si="12"/>
        <v>1.3207317073170732</v>
      </c>
      <c r="Q10">
        <f t="shared" si="13"/>
        <v>1.4307926829268292</v>
      </c>
    </row>
    <row r="11" spans="1:18" x14ac:dyDescent="0.4">
      <c r="A11" s="3">
        <v>90</v>
      </c>
      <c r="B11" s="18">
        <f t="shared" si="16"/>
        <v>42.868749999999999</v>
      </c>
      <c r="C11" s="18">
        <f t="shared" si="17"/>
        <v>68.59</v>
      </c>
      <c r="D11" s="18">
        <f t="shared" si="18"/>
        <v>81.450624999999988</v>
      </c>
      <c r="E11" s="18">
        <f t="shared" si="19"/>
        <v>90.881749999999968</v>
      </c>
      <c r="F11" s="18">
        <f t="shared" si="20"/>
        <v>96.025999999999982</v>
      </c>
      <c r="G11" s="18">
        <f t="shared" si="21"/>
        <v>102.88499999999999</v>
      </c>
      <c r="H11" s="18">
        <f t="shared" si="22"/>
        <v>111.45874999999998</v>
      </c>
      <c r="K11">
        <f t="shared" si="7"/>
        <v>0.47631944444444441</v>
      </c>
      <c r="L11">
        <f t="shared" si="8"/>
        <v>0.76211111111111118</v>
      </c>
      <c r="M11">
        <f t="shared" si="9"/>
        <v>0.90500694444444429</v>
      </c>
      <c r="N11">
        <f t="shared" si="10"/>
        <v>1.0097972222222218</v>
      </c>
      <c r="O11">
        <f t="shared" si="11"/>
        <v>1.0669555555555554</v>
      </c>
      <c r="P11">
        <f t="shared" si="12"/>
        <v>1.1431666666666667</v>
      </c>
      <c r="Q11">
        <f t="shared" si="13"/>
        <v>1.2384305555555553</v>
      </c>
    </row>
    <row r="12" spans="1:18" x14ac:dyDescent="0.4">
      <c r="A12" s="3">
        <v>100</v>
      </c>
      <c r="B12" s="18">
        <f t="shared" si="16"/>
        <v>40.725312499999994</v>
      </c>
      <c r="C12" s="18">
        <f t="shared" si="17"/>
        <v>65.160499999999999</v>
      </c>
      <c r="D12" s="18">
        <f t="shared" si="18"/>
        <v>77.378093749999991</v>
      </c>
      <c r="E12" s="18">
        <f t="shared" si="19"/>
        <v>86.337662499999965</v>
      </c>
      <c r="F12" s="18">
        <f t="shared" si="20"/>
        <v>91.224699999999984</v>
      </c>
      <c r="G12" s="18">
        <f t="shared" si="21"/>
        <v>97.740749999999991</v>
      </c>
      <c r="H12" s="18">
        <f t="shared" si="22"/>
        <v>105.88581249999997</v>
      </c>
      <c r="K12">
        <f t="shared" si="7"/>
        <v>0.40725312499999994</v>
      </c>
      <c r="L12">
        <f t="shared" si="8"/>
        <v>0.65160499999999999</v>
      </c>
      <c r="M12">
        <f t="shared" si="9"/>
        <v>0.77378093749999988</v>
      </c>
      <c r="N12">
        <f t="shared" si="10"/>
        <v>0.86337662499999968</v>
      </c>
      <c r="O12">
        <f t="shared" si="11"/>
        <v>0.91224699999999981</v>
      </c>
      <c r="P12">
        <f t="shared" si="12"/>
        <v>0.97740749999999987</v>
      </c>
      <c r="Q12">
        <f t="shared" si="13"/>
        <v>1.0588581249999998</v>
      </c>
    </row>
    <row r="13" spans="1:18" x14ac:dyDescent="0.4">
      <c r="A13" s="3">
        <v>110</v>
      </c>
      <c r="B13" s="18">
        <f t="shared" si="16"/>
        <v>38.689046874999995</v>
      </c>
      <c r="C13" s="18">
        <f t="shared" si="17"/>
        <v>61.902474999999995</v>
      </c>
      <c r="D13" s="18">
        <f t="shared" si="18"/>
        <v>73.509189062499985</v>
      </c>
      <c r="E13" s="18">
        <f t="shared" si="19"/>
        <v>82.020779374999961</v>
      </c>
      <c r="F13" s="18">
        <f t="shared" si="20"/>
        <v>86.663464999999988</v>
      </c>
      <c r="G13" s="18">
        <f t="shared" si="21"/>
        <v>92.853712499999986</v>
      </c>
      <c r="H13" s="18">
        <f t="shared" si="22"/>
        <v>100.59152187499997</v>
      </c>
      <c r="K13">
        <f t="shared" si="7"/>
        <v>0.3517186079545454</v>
      </c>
      <c r="L13">
        <f t="shared" si="8"/>
        <v>0.56274977272727267</v>
      </c>
      <c r="M13">
        <f t="shared" si="9"/>
        <v>0.66826535511363627</v>
      </c>
      <c r="N13">
        <f t="shared" si="10"/>
        <v>0.74564344886363598</v>
      </c>
      <c r="O13">
        <f t="shared" si="11"/>
        <v>0.78784968181818171</v>
      </c>
      <c r="P13">
        <f t="shared" si="12"/>
        <v>0.84412465909090895</v>
      </c>
      <c r="Q13">
        <f t="shared" si="13"/>
        <v>0.91446838068181791</v>
      </c>
    </row>
    <row r="14" spans="1:18" x14ac:dyDescent="0.4">
      <c r="A14" s="3">
        <v>120</v>
      </c>
      <c r="B14" s="18">
        <f t="shared" si="16"/>
        <v>36.754594531249992</v>
      </c>
      <c r="C14" s="18">
        <f t="shared" si="17"/>
        <v>58.807351249999996</v>
      </c>
      <c r="D14" s="18">
        <f t="shared" si="18"/>
        <v>69.833729609374984</v>
      </c>
      <c r="E14" s="18">
        <f t="shared" si="19"/>
        <v>77.919740406249957</v>
      </c>
      <c r="F14" s="18">
        <f t="shared" si="20"/>
        <v>82.330291749999986</v>
      </c>
      <c r="G14" s="18">
        <f t="shared" si="21"/>
        <v>88.211026874999988</v>
      </c>
      <c r="H14" s="18">
        <f t="shared" si="22"/>
        <v>95.56194578124996</v>
      </c>
      <c r="K14">
        <f t="shared" si="7"/>
        <v>0.30628828776041661</v>
      </c>
      <c r="L14">
        <f t="shared" si="8"/>
        <v>0.49006126041666664</v>
      </c>
      <c r="M14">
        <f t="shared" si="9"/>
        <v>0.58194774674479155</v>
      </c>
      <c r="N14">
        <f t="shared" si="10"/>
        <v>0.64933117005208296</v>
      </c>
      <c r="O14">
        <f t="shared" si="11"/>
        <v>0.68608576458333326</v>
      </c>
      <c r="P14">
        <f t="shared" si="12"/>
        <v>0.73509189062499991</v>
      </c>
      <c r="Q14">
        <f t="shared" si="13"/>
        <v>0.79634954817708303</v>
      </c>
    </row>
    <row r="15" spans="1:18" x14ac:dyDescent="0.4">
      <c r="A15" s="3">
        <v>130</v>
      </c>
      <c r="B15" s="18">
        <f t="shared" si="16"/>
        <v>34.916864804687492</v>
      </c>
      <c r="C15" s="18">
        <f t="shared" si="17"/>
        <v>55.866983687499996</v>
      </c>
      <c r="D15" s="18">
        <f t="shared" si="18"/>
        <v>66.342043128906226</v>
      </c>
      <c r="E15" s="18">
        <f t="shared" si="19"/>
        <v>74.023753385937454</v>
      </c>
      <c r="F15" s="18">
        <f t="shared" si="20"/>
        <v>78.21377716249998</v>
      </c>
      <c r="G15" s="18">
        <f t="shared" si="21"/>
        <v>83.800475531249987</v>
      </c>
      <c r="H15" s="18">
        <f t="shared" si="22"/>
        <v>90.78384849218746</v>
      </c>
      <c r="K15">
        <f t="shared" si="7"/>
        <v>0.26859126772836533</v>
      </c>
      <c r="L15">
        <f t="shared" si="8"/>
        <v>0.42974602836538456</v>
      </c>
      <c r="M15">
        <f t="shared" si="9"/>
        <v>0.51032340868389403</v>
      </c>
      <c r="N15">
        <f t="shared" si="10"/>
        <v>0.56941348758413424</v>
      </c>
      <c r="O15">
        <f t="shared" si="11"/>
        <v>0.60164443971153836</v>
      </c>
      <c r="P15">
        <f t="shared" si="12"/>
        <v>0.64461904254807678</v>
      </c>
      <c r="Q15">
        <f t="shared" si="13"/>
        <v>0.69833729609374973</v>
      </c>
    </row>
    <row r="17" spans="1:18" ht="27.6" x14ac:dyDescent="0.4">
      <c r="A17" s="25" t="s">
        <v>155</v>
      </c>
      <c r="B17" s="26"/>
      <c r="C17" s="26"/>
      <c r="D17" s="26"/>
      <c r="E17" s="26"/>
      <c r="F17" s="26"/>
      <c r="G17" s="26"/>
      <c r="H17" s="26"/>
      <c r="K17" s="27" t="s">
        <v>156</v>
      </c>
      <c r="L17" s="28"/>
      <c r="M17" s="28"/>
      <c r="N17" s="28"/>
      <c r="O17" s="28"/>
      <c r="P17" s="28"/>
      <c r="Q17" s="28"/>
      <c r="R17" s="28"/>
    </row>
    <row r="18" spans="1:18" x14ac:dyDescent="0.4">
      <c r="A18" s="1" t="s">
        <v>29</v>
      </c>
      <c r="B18" t="s">
        <v>30</v>
      </c>
      <c r="C18" t="s">
        <v>9</v>
      </c>
      <c r="D18" t="s">
        <v>10</v>
      </c>
      <c r="E18" t="s">
        <v>11</v>
      </c>
      <c r="F18" t="s">
        <v>31</v>
      </c>
      <c r="G18" t="s">
        <v>32</v>
      </c>
      <c r="H18" t="s">
        <v>33</v>
      </c>
      <c r="K18" t="s">
        <v>30</v>
      </c>
      <c r="L18" t="s">
        <v>9</v>
      </c>
      <c r="M18" t="s">
        <v>10</v>
      </c>
      <c r="N18" t="s">
        <v>34</v>
      </c>
      <c r="O18" t="s">
        <v>35</v>
      </c>
      <c r="P18" t="s">
        <v>32</v>
      </c>
      <c r="Q18" t="s">
        <v>33</v>
      </c>
    </row>
    <row r="19" spans="1:18" x14ac:dyDescent="0.4">
      <c r="A19" s="2">
        <v>44</v>
      </c>
      <c r="B19" s="16">
        <f>B5</f>
        <v>42.868749999999999</v>
      </c>
      <c r="C19" s="16">
        <f>C5</f>
        <v>68.59</v>
      </c>
      <c r="D19" s="16">
        <f>D5</f>
        <v>81.450624999999988</v>
      </c>
      <c r="E19" s="16">
        <f>E5</f>
        <v>90.881749999999968</v>
      </c>
      <c r="F19" s="16">
        <f>F5</f>
        <v>96.025999999999982</v>
      </c>
      <c r="G19" s="16">
        <f>G5</f>
        <v>102.88499999999999</v>
      </c>
      <c r="H19" s="16">
        <f>H5</f>
        <v>111.45874999999998</v>
      </c>
      <c r="K19">
        <f>B19/$A19</f>
        <v>0.97428977272727268</v>
      </c>
      <c r="L19">
        <f>D19/$A19</f>
        <v>1.8511505681818179</v>
      </c>
      <c r="M19">
        <f>F19/$A19</f>
        <v>2.1824090909090903</v>
      </c>
      <c r="N19">
        <f>E19/$A19</f>
        <v>2.0654943181818175</v>
      </c>
      <c r="O19">
        <f>G19/$A19</f>
        <v>2.3382954545454542</v>
      </c>
      <c r="P19">
        <f>G19/$A19</f>
        <v>2.3382954545454542</v>
      </c>
      <c r="Q19">
        <f>H19/$A19</f>
        <v>2.5331534090909087</v>
      </c>
    </row>
    <row r="20" spans="1:18" x14ac:dyDescent="0.4">
      <c r="A20" s="2">
        <v>48</v>
      </c>
      <c r="B20" s="16">
        <f>B6</f>
        <v>45.125</v>
      </c>
      <c r="C20" s="16">
        <f>C6</f>
        <v>72.2</v>
      </c>
      <c r="D20" s="16">
        <f>D6</f>
        <v>85.737499999999997</v>
      </c>
      <c r="E20" s="16">
        <f>E6</f>
        <v>95.664999999999978</v>
      </c>
      <c r="F20" s="16">
        <f>F6</f>
        <v>101.07999999999998</v>
      </c>
      <c r="G20" s="16">
        <f>G6</f>
        <v>108.3</v>
      </c>
      <c r="H20" s="16">
        <f>H6</f>
        <v>117.32499999999999</v>
      </c>
      <c r="K20">
        <f t="shared" ref="K20:K27" si="23">B20/$A20</f>
        <v>0.94010416666666663</v>
      </c>
      <c r="L20">
        <f t="shared" ref="L20:L27" si="24">D20/$A20</f>
        <v>1.7861979166666666</v>
      </c>
      <c r="M20">
        <f t="shared" ref="M20:M27" si="25">F20/$A20</f>
        <v>2.105833333333333</v>
      </c>
      <c r="N20">
        <f t="shared" ref="N20:N27" si="26">E20/$A20</f>
        <v>1.9930208333333328</v>
      </c>
      <c r="O20">
        <f t="shared" ref="O20:O27" si="27">G20/$A20</f>
        <v>2.2562500000000001</v>
      </c>
      <c r="P20">
        <f t="shared" ref="P20:Q27" si="28">G20/$A20</f>
        <v>2.2562500000000001</v>
      </c>
      <c r="Q20">
        <f t="shared" si="28"/>
        <v>2.4442708333333329</v>
      </c>
    </row>
    <row r="21" spans="1:18" x14ac:dyDescent="0.4">
      <c r="A21" s="2">
        <v>52</v>
      </c>
      <c r="B21" s="16">
        <f t="shared" ref="B21:H21" si="29">B7</f>
        <v>47.5</v>
      </c>
      <c r="C21" s="16">
        <f t="shared" si="29"/>
        <v>76</v>
      </c>
      <c r="D21" s="16">
        <f t="shared" si="29"/>
        <v>90.25</v>
      </c>
      <c r="E21" s="16">
        <f t="shared" si="29"/>
        <v>100.69999999999999</v>
      </c>
      <c r="F21" s="16">
        <f t="shared" si="29"/>
        <v>106.39999999999999</v>
      </c>
      <c r="G21" s="16">
        <f t="shared" si="29"/>
        <v>114</v>
      </c>
      <c r="H21" s="16">
        <f t="shared" si="29"/>
        <v>123.5</v>
      </c>
      <c r="K21">
        <f t="shared" si="23"/>
        <v>0.91346153846153844</v>
      </c>
      <c r="L21">
        <f t="shared" si="24"/>
        <v>1.7355769230769231</v>
      </c>
      <c r="M21">
        <f t="shared" si="25"/>
        <v>2.046153846153846</v>
      </c>
      <c r="N21">
        <f t="shared" si="26"/>
        <v>1.9365384615384613</v>
      </c>
      <c r="O21">
        <f t="shared" si="27"/>
        <v>2.1923076923076925</v>
      </c>
      <c r="P21">
        <f t="shared" si="28"/>
        <v>2.1923076923076925</v>
      </c>
      <c r="Q21">
        <f t="shared" si="28"/>
        <v>2.375</v>
      </c>
    </row>
    <row r="22" spans="1:18" x14ac:dyDescent="0.4">
      <c r="A22" s="2">
        <v>56</v>
      </c>
      <c r="B22" s="16">
        <f t="shared" ref="B22:H22" si="30">B8</f>
        <v>50</v>
      </c>
      <c r="C22" s="16">
        <f t="shared" si="30"/>
        <v>80</v>
      </c>
      <c r="D22" s="16">
        <f t="shared" si="30"/>
        <v>95</v>
      </c>
      <c r="E22" s="16">
        <f t="shared" si="30"/>
        <v>106</v>
      </c>
      <c r="F22" s="16">
        <f t="shared" si="30"/>
        <v>112</v>
      </c>
      <c r="G22" s="16">
        <f t="shared" si="30"/>
        <v>120</v>
      </c>
      <c r="H22" s="16">
        <f t="shared" si="30"/>
        <v>130</v>
      </c>
      <c r="K22">
        <f t="shared" si="23"/>
        <v>0.8928571428571429</v>
      </c>
      <c r="L22">
        <f t="shared" si="24"/>
        <v>1.6964285714285714</v>
      </c>
      <c r="M22">
        <f t="shared" si="25"/>
        <v>2</v>
      </c>
      <c r="N22">
        <f t="shared" si="26"/>
        <v>1.8928571428571428</v>
      </c>
      <c r="O22">
        <f t="shared" si="27"/>
        <v>2.1428571428571428</v>
      </c>
      <c r="P22">
        <f t="shared" si="28"/>
        <v>2.1428571428571428</v>
      </c>
      <c r="Q22">
        <f t="shared" si="28"/>
        <v>2.3214285714285716</v>
      </c>
    </row>
    <row r="23" spans="1:18" x14ac:dyDescent="0.4">
      <c r="A23" s="2">
        <v>60</v>
      </c>
      <c r="B23" s="16">
        <f t="shared" ref="B23:H23" si="31">B9</f>
        <v>47.5</v>
      </c>
      <c r="C23" s="16">
        <f t="shared" si="31"/>
        <v>76</v>
      </c>
      <c r="D23" s="16">
        <f t="shared" si="31"/>
        <v>90.25</v>
      </c>
      <c r="E23" s="16">
        <f t="shared" si="31"/>
        <v>100.69999999999999</v>
      </c>
      <c r="F23" s="16">
        <f t="shared" si="31"/>
        <v>106.39999999999999</v>
      </c>
      <c r="G23" s="16">
        <f t="shared" si="31"/>
        <v>114</v>
      </c>
      <c r="H23" s="16">
        <f t="shared" si="31"/>
        <v>123.5</v>
      </c>
      <c r="K23">
        <f t="shared" si="23"/>
        <v>0.79166666666666663</v>
      </c>
      <c r="L23">
        <f t="shared" si="24"/>
        <v>1.5041666666666667</v>
      </c>
      <c r="M23">
        <f t="shared" si="25"/>
        <v>1.7733333333333332</v>
      </c>
      <c r="N23">
        <f t="shared" si="26"/>
        <v>1.6783333333333332</v>
      </c>
      <c r="O23">
        <f t="shared" si="27"/>
        <v>1.9</v>
      </c>
      <c r="P23">
        <f t="shared" si="28"/>
        <v>1.9</v>
      </c>
      <c r="Q23">
        <f t="shared" si="28"/>
        <v>2.0583333333333331</v>
      </c>
    </row>
    <row r="24" spans="1:18" x14ac:dyDescent="0.4">
      <c r="A24" s="2">
        <v>67</v>
      </c>
      <c r="B24" s="16">
        <f t="shared" ref="B24:H24" si="32">B10</f>
        <v>45.125</v>
      </c>
      <c r="C24" s="16">
        <f t="shared" si="32"/>
        <v>72.2</v>
      </c>
      <c r="D24" s="16">
        <f t="shared" si="32"/>
        <v>85.737499999999997</v>
      </c>
      <c r="E24" s="16">
        <f t="shared" si="32"/>
        <v>95.664999999999978</v>
      </c>
      <c r="F24" s="16">
        <f t="shared" si="32"/>
        <v>101.07999999999998</v>
      </c>
      <c r="G24" s="16">
        <f t="shared" si="32"/>
        <v>108.3</v>
      </c>
      <c r="H24" s="16">
        <f t="shared" si="32"/>
        <v>117.32499999999999</v>
      </c>
      <c r="K24">
        <f t="shared" si="23"/>
        <v>0.67350746268656714</v>
      </c>
      <c r="L24">
        <f t="shared" si="24"/>
        <v>1.2796641791044776</v>
      </c>
      <c r="M24">
        <f t="shared" si="25"/>
        <v>1.5086567164179101</v>
      </c>
      <c r="N24">
        <f t="shared" si="26"/>
        <v>1.427835820895522</v>
      </c>
      <c r="O24">
        <f t="shared" si="27"/>
        <v>1.6164179104477612</v>
      </c>
      <c r="P24">
        <f t="shared" si="28"/>
        <v>1.6164179104477612</v>
      </c>
      <c r="Q24">
        <f t="shared" si="28"/>
        <v>1.7511194029850745</v>
      </c>
    </row>
    <row r="25" spans="1:18" x14ac:dyDescent="0.4">
      <c r="A25" s="2">
        <v>75</v>
      </c>
      <c r="B25" s="16">
        <f t="shared" ref="B25:H25" si="33">B11</f>
        <v>42.868749999999999</v>
      </c>
      <c r="C25" s="16">
        <f t="shared" si="33"/>
        <v>68.59</v>
      </c>
      <c r="D25" s="16">
        <f t="shared" si="33"/>
        <v>81.450624999999988</v>
      </c>
      <c r="E25" s="16">
        <f t="shared" si="33"/>
        <v>90.881749999999968</v>
      </c>
      <c r="F25" s="16">
        <f t="shared" si="33"/>
        <v>96.025999999999982</v>
      </c>
      <c r="G25" s="16">
        <f t="shared" si="33"/>
        <v>102.88499999999999</v>
      </c>
      <c r="H25" s="16">
        <f t="shared" si="33"/>
        <v>111.45874999999998</v>
      </c>
      <c r="K25">
        <f t="shared" si="23"/>
        <v>0.57158333333333333</v>
      </c>
      <c r="L25">
        <f t="shared" si="24"/>
        <v>1.0860083333333332</v>
      </c>
      <c r="M25">
        <f t="shared" si="25"/>
        <v>1.2803466666666665</v>
      </c>
      <c r="N25">
        <f t="shared" si="26"/>
        <v>1.2117566666666661</v>
      </c>
      <c r="O25">
        <f t="shared" si="27"/>
        <v>1.3717999999999999</v>
      </c>
      <c r="P25">
        <f t="shared" si="28"/>
        <v>1.3717999999999999</v>
      </c>
      <c r="Q25">
        <f t="shared" si="28"/>
        <v>1.4861166666666663</v>
      </c>
    </row>
    <row r="26" spans="1:18" x14ac:dyDescent="0.4">
      <c r="A26" s="2">
        <v>82</v>
      </c>
      <c r="B26" s="16">
        <f t="shared" ref="B26:H26" si="34">B12</f>
        <v>40.725312499999994</v>
      </c>
      <c r="C26" s="16">
        <f t="shared" si="34"/>
        <v>65.160499999999999</v>
      </c>
      <c r="D26" s="16">
        <f t="shared" si="34"/>
        <v>77.378093749999991</v>
      </c>
      <c r="E26" s="16">
        <f t="shared" si="34"/>
        <v>86.337662499999965</v>
      </c>
      <c r="F26" s="16">
        <f t="shared" si="34"/>
        <v>91.224699999999984</v>
      </c>
      <c r="G26" s="16">
        <f t="shared" si="34"/>
        <v>97.740749999999991</v>
      </c>
      <c r="H26" s="16">
        <f t="shared" si="34"/>
        <v>105.88581249999997</v>
      </c>
      <c r="K26">
        <f t="shared" si="23"/>
        <v>0.49665015243902433</v>
      </c>
      <c r="L26">
        <f t="shared" si="24"/>
        <v>0.94363528963414622</v>
      </c>
      <c r="M26">
        <f t="shared" si="25"/>
        <v>1.1124963414634144</v>
      </c>
      <c r="N26">
        <f t="shared" si="26"/>
        <v>1.0528983231707312</v>
      </c>
      <c r="O26">
        <f t="shared" si="27"/>
        <v>1.1919603658536584</v>
      </c>
      <c r="P26">
        <f t="shared" si="28"/>
        <v>1.1919603658536584</v>
      </c>
      <c r="Q26">
        <f t="shared" si="28"/>
        <v>1.291290396341463</v>
      </c>
    </row>
    <row r="27" spans="1:18" x14ac:dyDescent="0.4">
      <c r="A27" s="2">
        <v>90</v>
      </c>
      <c r="B27" s="16">
        <f t="shared" ref="B27:H27" si="35">B13</f>
        <v>38.689046874999995</v>
      </c>
      <c r="C27" s="16">
        <f t="shared" si="35"/>
        <v>61.902474999999995</v>
      </c>
      <c r="D27" s="16">
        <f t="shared" si="35"/>
        <v>73.509189062499985</v>
      </c>
      <c r="E27" s="16">
        <f t="shared" si="35"/>
        <v>82.020779374999961</v>
      </c>
      <c r="F27" s="16">
        <f t="shared" si="35"/>
        <v>86.663464999999988</v>
      </c>
      <c r="G27" s="16">
        <f t="shared" si="35"/>
        <v>92.853712499999986</v>
      </c>
      <c r="H27" s="16">
        <f t="shared" si="35"/>
        <v>100.59152187499997</v>
      </c>
      <c r="K27">
        <f t="shared" si="23"/>
        <v>0.42987829861111104</v>
      </c>
      <c r="L27">
        <f t="shared" si="24"/>
        <v>0.81676876736111093</v>
      </c>
      <c r="M27">
        <f t="shared" si="25"/>
        <v>0.96292738888888874</v>
      </c>
      <c r="N27">
        <f t="shared" si="26"/>
        <v>0.91134199305555508</v>
      </c>
      <c r="O27">
        <f t="shared" si="27"/>
        <v>1.0317079166666665</v>
      </c>
      <c r="P27">
        <f t="shared" si="28"/>
        <v>1.0317079166666665</v>
      </c>
      <c r="Q27">
        <f t="shared" si="28"/>
        <v>1.1176835763888886</v>
      </c>
    </row>
    <row r="28" spans="1:18" x14ac:dyDescent="0.4">
      <c r="A28" s="4"/>
      <c r="B28" s="5"/>
      <c r="C28" s="5"/>
      <c r="D28" s="5"/>
      <c r="E28" s="5"/>
      <c r="F28" s="5"/>
      <c r="G28" s="5"/>
      <c r="H28" s="5"/>
      <c r="I28" s="5"/>
    </row>
    <row r="29" spans="1:18" x14ac:dyDescent="0.4">
      <c r="A29" s="4"/>
      <c r="B29" s="5"/>
      <c r="C29" s="5"/>
      <c r="D29" s="5"/>
      <c r="E29" s="5"/>
      <c r="F29" s="5"/>
      <c r="G29" s="5"/>
      <c r="H29" s="5"/>
      <c r="I29" s="5"/>
    </row>
  </sheetData>
  <mergeCells count="5">
    <mergeCell ref="A3:H3"/>
    <mergeCell ref="K3:R3"/>
    <mergeCell ref="A17:H17"/>
    <mergeCell ref="K17:R17"/>
    <mergeCell ref="A2:H2"/>
  </mergeCells>
  <phoneticPr fontId="2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zoomScale="94" zoomScaleNormal="94" workbookViewId="0">
      <selection activeCell="I8" sqref="I8"/>
    </sheetView>
  </sheetViews>
  <sheetFormatPr defaultRowHeight="17.399999999999999" x14ac:dyDescent="0.4"/>
  <cols>
    <col min="1" max="16384" width="8.796875" style="14"/>
  </cols>
  <sheetData>
    <row r="1" spans="1:18" ht="25.2" x14ac:dyDescent="0.4">
      <c r="A1" s="31" t="s">
        <v>157</v>
      </c>
      <c r="B1" s="31"/>
      <c r="C1" s="31"/>
      <c r="D1" s="31"/>
      <c r="E1" s="31"/>
      <c r="F1" s="31"/>
      <c r="G1" s="31"/>
      <c r="H1" s="31"/>
      <c r="I1" s="14" t="s">
        <v>144</v>
      </c>
    </row>
    <row r="2" spans="1:18" ht="25.2" x14ac:dyDescent="0.4">
      <c r="A2" s="25" t="s">
        <v>140</v>
      </c>
      <c r="B2" s="26"/>
      <c r="C2" s="26"/>
      <c r="D2" s="26"/>
      <c r="E2" s="26"/>
      <c r="F2" s="26"/>
      <c r="G2" s="26"/>
      <c r="H2" s="26"/>
      <c r="K2" s="25" t="s">
        <v>141</v>
      </c>
      <c r="L2" s="26"/>
      <c r="M2" s="26"/>
      <c r="N2" s="26"/>
      <c r="O2" s="26"/>
      <c r="P2" s="26"/>
      <c r="Q2" s="26"/>
      <c r="R2" s="26"/>
    </row>
    <row r="3" spans="1:18" x14ac:dyDescent="0.4">
      <c r="A3" s="1" t="s">
        <v>29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31</v>
      </c>
      <c r="G3" s="14" t="s">
        <v>13</v>
      </c>
      <c r="H3" s="14" t="s">
        <v>33</v>
      </c>
      <c r="K3" s="14" t="s">
        <v>8</v>
      </c>
      <c r="L3" s="14" t="s">
        <v>9</v>
      </c>
      <c r="M3" s="14" t="s">
        <v>10</v>
      </c>
      <c r="N3" s="14" t="s">
        <v>11</v>
      </c>
      <c r="O3" s="14" t="s">
        <v>31</v>
      </c>
      <c r="P3" s="14" t="s">
        <v>13</v>
      </c>
      <c r="Q3" s="14" t="s">
        <v>33</v>
      </c>
    </row>
    <row r="4" spans="1:18" x14ac:dyDescent="0.4">
      <c r="A4" s="3">
        <v>55</v>
      </c>
      <c r="B4" s="16">
        <f t="shared" ref="B4:C6" si="0">B5*0.95</f>
        <v>25.721249999999998</v>
      </c>
      <c r="C4" s="16">
        <f t="shared" si="0"/>
        <v>38.581874999999997</v>
      </c>
      <c r="D4" s="16">
        <f t="shared" ref="D4:H6" si="1">D5*0.95</f>
        <v>51.442499999999995</v>
      </c>
      <c r="E4" s="16">
        <f t="shared" si="1"/>
        <v>64.303124999999994</v>
      </c>
      <c r="F4" s="16">
        <f t="shared" si="1"/>
        <v>77.163749999999993</v>
      </c>
      <c r="G4" s="16">
        <f t="shared" si="1"/>
        <v>90.881749999999968</v>
      </c>
      <c r="H4" s="16">
        <f t="shared" si="1"/>
        <v>102.88499999999999</v>
      </c>
      <c r="K4" s="14">
        <f t="shared" ref="K4:L14" si="2">B4/$A4</f>
        <v>0.46765909090909086</v>
      </c>
      <c r="L4" s="14">
        <f t="shared" si="2"/>
        <v>0.70148863636363634</v>
      </c>
      <c r="M4" s="14">
        <f t="shared" ref="M4:M14" si="3">E4/$A4</f>
        <v>1.1691477272727271</v>
      </c>
      <c r="N4" s="14">
        <f t="shared" ref="N4:N14" si="4">F4/$A4</f>
        <v>1.4029772727272727</v>
      </c>
      <c r="O4" s="14">
        <f t="shared" ref="O4:O14" si="5">G4/$A4</f>
        <v>1.652395454545454</v>
      </c>
      <c r="P4" s="14">
        <f t="shared" ref="P4:P14" si="6">H4/$A4</f>
        <v>1.8706363636363634</v>
      </c>
      <c r="Q4" s="14" t="e">
        <f>#REF!/$A4</f>
        <v>#REF!</v>
      </c>
    </row>
    <row r="5" spans="1:18" x14ac:dyDescent="0.4">
      <c r="A5" s="3">
        <v>60</v>
      </c>
      <c r="B5" s="16">
        <f t="shared" si="0"/>
        <v>27.074999999999999</v>
      </c>
      <c r="C5" s="16">
        <f t="shared" si="0"/>
        <v>40.612499999999997</v>
      </c>
      <c r="D5" s="16">
        <f t="shared" si="1"/>
        <v>54.15</v>
      </c>
      <c r="E5" s="16">
        <f t="shared" si="1"/>
        <v>67.6875</v>
      </c>
      <c r="F5" s="16">
        <f t="shared" si="1"/>
        <v>81.224999999999994</v>
      </c>
      <c r="G5" s="16">
        <f t="shared" si="1"/>
        <v>95.664999999999978</v>
      </c>
      <c r="H5" s="16">
        <f t="shared" si="1"/>
        <v>108.3</v>
      </c>
      <c r="K5" s="14">
        <f t="shared" si="2"/>
        <v>0.45124999999999998</v>
      </c>
      <c r="L5" s="14">
        <f t="shared" si="2"/>
        <v>0.676875</v>
      </c>
      <c r="M5" s="14">
        <f t="shared" si="3"/>
        <v>1.128125</v>
      </c>
      <c r="N5" s="14">
        <f t="shared" si="4"/>
        <v>1.35375</v>
      </c>
      <c r="O5" s="14">
        <f t="shared" si="5"/>
        <v>1.5944166666666664</v>
      </c>
      <c r="P5" s="14">
        <f t="shared" si="6"/>
        <v>1.8049999999999999</v>
      </c>
      <c r="Q5" s="14" t="e">
        <f>#REF!/$A5</f>
        <v>#REF!</v>
      </c>
    </row>
    <row r="6" spans="1:18" x14ac:dyDescent="0.4">
      <c r="A6" s="3">
        <v>65</v>
      </c>
      <c r="B6" s="16">
        <f>B7*0.95</f>
        <v>28.5</v>
      </c>
      <c r="C6" s="16">
        <f t="shared" si="0"/>
        <v>42.75</v>
      </c>
      <c r="D6" s="16">
        <f t="shared" si="1"/>
        <v>57</v>
      </c>
      <c r="E6" s="16">
        <f t="shared" si="1"/>
        <v>71.25</v>
      </c>
      <c r="F6" s="16">
        <f t="shared" si="1"/>
        <v>85.5</v>
      </c>
      <c r="G6" s="16">
        <f t="shared" si="1"/>
        <v>100.69999999999999</v>
      </c>
      <c r="H6" s="16">
        <f t="shared" si="1"/>
        <v>114</v>
      </c>
      <c r="K6" s="14">
        <f t="shared" si="2"/>
        <v>0.43846153846153846</v>
      </c>
      <c r="L6" s="14">
        <f t="shared" si="2"/>
        <v>0.65769230769230769</v>
      </c>
      <c r="M6" s="14">
        <f t="shared" si="3"/>
        <v>1.0961538461538463</v>
      </c>
      <c r="N6" s="14">
        <f t="shared" si="4"/>
        <v>1.3153846153846154</v>
      </c>
      <c r="O6" s="14">
        <f t="shared" si="5"/>
        <v>1.549230769230769</v>
      </c>
      <c r="P6" s="14">
        <f t="shared" si="6"/>
        <v>1.7538461538461538</v>
      </c>
      <c r="Q6" s="14" t="e">
        <f>#REF!/$A6</f>
        <v>#REF!</v>
      </c>
    </row>
    <row r="7" spans="1:18" x14ac:dyDescent="0.4">
      <c r="A7" s="3">
        <v>70</v>
      </c>
      <c r="B7" s="16">
        <v>30</v>
      </c>
      <c r="C7" s="16">
        <v>45</v>
      </c>
      <c r="D7" s="16">
        <v>60</v>
      </c>
      <c r="E7" s="16">
        <v>75</v>
      </c>
      <c r="F7" s="16">
        <v>90</v>
      </c>
      <c r="G7" s="16">
        <v>106</v>
      </c>
      <c r="H7" s="16">
        <v>120</v>
      </c>
      <c r="K7" s="14">
        <f t="shared" si="2"/>
        <v>0.42857142857142855</v>
      </c>
      <c r="L7" s="14">
        <f t="shared" si="2"/>
        <v>0.6428571428571429</v>
      </c>
      <c r="M7" s="14">
        <f t="shared" si="3"/>
        <v>1.0714285714285714</v>
      </c>
      <c r="N7" s="14">
        <f t="shared" si="4"/>
        <v>1.2857142857142858</v>
      </c>
      <c r="O7" s="14">
        <f t="shared" si="5"/>
        <v>1.5142857142857142</v>
      </c>
      <c r="P7" s="14">
        <f t="shared" si="6"/>
        <v>1.7142857142857142</v>
      </c>
      <c r="Q7" s="14" t="e">
        <f>#REF!/$A7</f>
        <v>#REF!</v>
      </c>
    </row>
    <row r="8" spans="1:18" x14ac:dyDescent="0.4">
      <c r="A8" s="3">
        <v>75</v>
      </c>
      <c r="B8" s="18">
        <f>B7*0.95</f>
        <v>28.5</v>
      </c>
      <c r="C8" s="18">
        <f t="shared" ref="C8:C14" si="7">C7*0.95</f>
        <v>42.75</v>
      </c>
      <c r="D8" s="18">
        <f t="shared" ref="D8:H14" si="8">D7*0.95</f>
        <v>57</v>
      </c>
      <c r="E8" s="18">
        <f t="shared" si="8"/>
        <v>71.25</v>
      </c>
      <c r="F8" s="18">
        <f t="shared" si="8"/>
        <v>85.5</v>
      </c>
      <c r="G8" s="18">
        <f t="shared" si="8"/>
        <v>100.69999999999999</v>
      </c>
      <c r="H8" s="18">
        <f t="shared" si="8"/>
        <v>114</v>
      </c>
      <c r="K8" s="14">
        <f t="shared" si="2"/>
        <v>0.38</v>
      </c>
      <c r="L8" s="14">
        <f t="shared" si="2"/>
        <v>0.56999999999999995</v>
      </c>
      <c r="M8" s="14">
        <f t="shared" si="3"/>
        <v>0.95</v>
      </c>
      <c r="N8" s="14">
        <f t="shared" si="4"/>
        <v>1.1399999999999999</v>
      </c>
      <c r="O8" s="14">
        <f t="shared" si="5"/>
        <v>1.3426666666666665</v>
      </c>
      <c r="P8" s="14">
        <f t="shared" si="6"/>
        <v>1.52</v>
      </c>
      <c r="Q8" s="14" t="e">
        <f>#REF!/$A8</f>
        <v>#REF!</v>
      </c>
    </row>
    <row r="9" spans="1:18" x14ac:dyDescent="0.4">
      <c r="A9" s="3">
        <v>82</v>
      </c>
      <c r="B9" s="18">
        <f t="shared" ref="B9:B14" si="9">B8*0.95</f>
        <v>27.074999999999999</v>
      </c>
      <c r="C9" s="18">
        <f t="shared" si="7"/>
        <v>40.612499999999997</v>
      </c>
      <c r="D9" s="18">
        <f t="shared" si="8"/>
        <v>54.15</v>
      </c>
      <c r="E9" s="18">
        <f t="shared" si="8"/>
        <v>67.6875</v>
      </c>
      <c r="F9" s="18">
        <f t="shared" si="8"/>
        <v>81.224999999999994</v>
      </c>
      <c r="G9" s="18">
        <f t="shared" si="8"/>
        <v>95.664999999999978</v>
      </c>
      <c r="H9" s="18">
        <f t="shared" si="8"/>
        <v>108.3</v>
      </c>
      <c r="K9" s="14">
        <f t="shared" si="2"/>
        <v>0.33018292682926831</v>
      </c>
      <c r="L9" s="14">
        <f t="shared" si="2"/>
        <v>0.49527439024390241</v>
      </c>
      <c r="M9" s="14">
        <f t="shared" si="3"/>
        <v>0.82545731707317072</v>
      </c>
      <c r="N9" s="14">
        <f t="shared" si="4"/>
        <v>0.99054878048780481</v>
      </c>
      <c r="O9" s="14">
        <f t="shared" si="5"/>
        <v>1.1666463414634143</v>
      </c>
      <c r="P9" s="14">
        <f t="shared" si="6"/>
        <v>1.3207317073170732</v>
      </c>
      <c r="Q9" s="14" t="e">
        <f>#REF!/$A9</f>
        <v>#REF!</v>
      </c>
    </row>
    <row r="10" spans="1:18" x14ac:dyDescent="0.4">
      <c r="A10" s="3">
        <v>90</v>
      </c>
      <c r="B10" s="18">
        <f t="shared" si="9"/>
        <v>25.721249999999998</v>
      </c>
      <c r="C10" s="18">
        <f t="shared" si="7"/>
        <v>38.581874999999997</v>
      </c>
      <c r="D10" s="18">
        <f t="shared" si="8"/>
        <v>51.442499999999995</v>
      </c>
      <c r="E10" s="18">
        <f t="shared" si="8"/>
        <v>64.303124999999994</v>
      </c>
      <c r="F10" s="18">
        <f t="shared" si="8"/>
        <v>77.163749999999993</v>
      </c>
      <c r="G10" s="18">
        <f t="shared" si="8"/>
        <v>90.881749999999968</v>
      </c>
      <c r="H10" s="18">
        <f t="shared" si="8"/>
        <v>102.88499999999999</v>
      </c>
      <c r="K10" s="14">
        <f t="shared" si="2"/>
        <v>0.28579166666666667</v>
      </c>
      <c r="L10" s="14">
        <f t="shared" si="2"/>
        <v>0.42868749999999994</v>
      </c>
      <c r="M10" s="14">
        <f t="shared" si="3"/>
        <v>0.71447916666666655</v>
      </c>
      <c r="N10" s="14">
        <f t="shared" si="4"/>
        <v>0.85737499999999989</v>
      </c>
      <c r="O10" s="14">
        <f t="shared" si="5"/>
        <v>1.0097972222222218</v>
      </c>
      <c r="P10" s="14">
        <f t="shared" si="6"/>
        <v>1.1431666666666667</v>
      </c>
      <c r="Q10" s="14" t="e">
        <f>#REF!/$A10</f>
        <v>#REF!</v>
      </c>
    </row>
    <row r="11" spans="1:18" x14ac:dyDescent="0.4">
      <c r="A11" s="3">
        <v>100</v>
      </c>
      <c r="B11" s="18">
        <f t="shared" si="9"/>
        <v>24.435187499999998</v>
      </c>
      <c r="C11" s="18">
        <f t="shared" si="7"/>
        <v>36.652781249999997</v>
      </c>
      <c r="D11" s="18">
        <f t="shared" si="8"/>
        <v>48.870374999999996</v>
      </c>
      <c r="E11" s="18">
        <f t="shared" si="8"/>
        <v>61.087968749999995</v>
      </c>
      <c r="F11" s="18">
        <f t="shared" si="8"/>
        <v>73.305562499999994</v>
      </c>
      <c r="G11" s="18">
        <f t="shared" si="8"/>
        <v>86.337662499999965</v>
      </c>
      <c r="H11" s="18">
        <f t="shared" si="8"/>
        <v>97.740749999999991</v>
      </c>
      <c r="K11" s="14">
        <f t="shared" si="2"/>
        <v>0.24435187499999997</v>
      </c>
      <c r="L11" s="14">
        <f t="shared" si="2"/>
        <v>0.36652781249999999</v>
      </c>
      <c r="M11" s="14">
        <f t="shared" si="3"/>
        <v>0.61087968749999999</v>
      </c>
      <c r="N11" s="14">
        <f t="shared" si="4"/>
        <v>0.73305562499999999</v>
      </c>
      <c r="O11" s="14">
        <f t="shared" si="5"/>
        <v>0.86337662499999968</v>
      </c>
      <c r="P11" s="14">
        <f t="shared" si="6"/>
        <v>0.97740749999999987</v>
      </c>
      <c r="Q11" s="14" t="e">
        <f>#REF!/$A11</f>
        <v>#REF!</v>
      </c>
    </row>
    <row r="12" spans="1:18" x14ac:dyDescent="0.4">
      <c r="A12" s="3">
        <v>110</v>
      </c>
      <c r="B12" s="18">
        <f t="shared" si="9"/>
        <v>23.213428124999997</v>
      </c>
      <c r="C12" s="18">
        <f t="shared" si="7"/>
        <v>34.820142187499997</v>
      </c>
      <c r="D12" s="18">
        <f t="shared" si="8"/>
        <v>46.426856249999993</v>
      </c>
      <c r="E12" s="18">
        <f t="shared" si="8"/>
        <v>58.03357031249999</v>
      </c>
      <c r="F12" s="18">
        <f t="shared" si="8"/>
        <v>69.640284374999993</v>
      </c>
      <c r="G12" s="18">
        <f t="shared" si="8"/>
        <v>82.020779374999961</v>
      </c>
      <c r="H12" s="18">
        <f t="shared" si="8"/>
        <v>92.853712499999986</v>
      </c>
      <c r="K12" s="14">
        <f t="shared" si="2"/>
        <v>0.21103116477272724</v>
      </c>
      <c r="L12" s="14">
        <f t="shared" si="2"/>
        <v>0.31654674715909087</v>
      </c>
      <c r="M12" s="14">
        <f t="shared" si="3"/>
        <v>0.52757791193181813</v>
      </c>
      <c r="N12" s="14">
        <f t="shared" si="4"/>
        <v>0.63309349431818174</v>
      </c>
      <c r="O12" s="14">
        <f t="shared" si="5"/>
        <v>0.74564344886363598</v>
      </c>
      <c r="P12" s="14">
        <f t="shared" si="6"/>
        <v>0.84412465909090895</v>
      </c>
      <c r="Q12" s="14" t="e">
        <f>#REF!/$A12</f>
        <v>#REF!</v>
      </c>
    </row>
    <row r="13" spans="1:18" x14ac:dyDescent="0.4">
      <c r="A13" s="3">
        <v>120</v>
      </c>
      <c r="B13" s="18">
        <f t="shared" si="9"/>
        <v>22.052756718749997</v>
      </c>
      <c r="C13" s="18">
        <f t="shared" si="7"/>
        <v>33.079135078124992</v>
      </c>
      <c r="D13" s="18">
        <f t="shared" si="8"/>
        <v>44.105513437499994</v>
      </c>
      <c r="E13" s="18">
        <f t="shared" si="8"/>
        <v>55.131891796874989</v>
      </c>
      <c r="F13" s="18">
        <f t="shared" si="8"/>
        <v>66.158270156249984</v>
      </c>
      <c r="G13" s="18">
        <f t="shared" si="8"/>
        <v>77.919740406249957</v>
      </c>
      <c r="H13" s="18">
        <f t="shared" si="8"/>
        <v>88.211026874999988</v>
      </c>
      <c r="K13" s="14">
        <f t="shared" si="2"/>
        <v>0.18377297265624998</v>
      </c>
      <c r="L13" s="14">
        <f t="shared" si="2"/>
        <v>0.27565945898437494</v>
      </c>
      <c r="M13" s="14">
        <f t="shared" si="3"/>
        <v>0.45943243164062492</v>
      </c>
      <c r="N13" s="14">
        <f t="shared" si="4"/>
        <v>0.55131891796874988</v>
      </c>
      <c r="O13" s="14">
        <f t="shared" si="5"/>
        <v>0.64933117005208296</v>
      </c>
      <c r="P13" s="14">
        <f t="shared" si="6"/>
        <v>0.73509189062499991</v>
      </c>
      <c r="Q13" s="14" t="e">
        <f>#REF!/$A13</f>
        <v>#REF!</v>
      </c>
    </row>
    <row r="14" spans="1:18" x14ac:dyDescent="0.4">
      <c r="A14" s="3">
        <v>130</v>
      </c>
      <c r="B14" s="18">
        <f t="shared" si="9"/>
        <v>20.950118882812497</v>
      </c>
      <c r="C14" s="18">
        <f t="shared" si="7"/>
        <v>31.425178324218741</v>
      </c>
      <c r="D14" s="18">
        <f t="shared" si="8"/>
        <v>41.900237765624993</v>
      </c>
      <c r="E14" s="18">
        <f t="shared" si="8"/>
        <v>52.375297207031238</v>
      </c>
      <c r="F14" s="18">
        <f t="shared" si="8"/>
        <v>62.850356648437483</v>
      </c>
      <c r="G14" s="18">
        <f t="shared" si="8"/>
        <v>74.023753385937454</v>
      </c>
      <c r="H14" s="18">
        <f t="shared" si="8"/>
        <v>83.800475531249987</v>
      </c>
      <c r="K14" s="14">
        <f t="shared" si="2"/>
        <v>0.1611547606370192</v>
      </c>
      <c r="L14" s="14">
        <f t="shared" si="2"/>
        <v>0.24173214095552878</v>
      </c>
      <c r="M14" s="14">
        <f t="shared" si="3"/>
        <v>0.40288690159254797</v>
      </c>
      <c r="N14" s="14">
        <f t="shared" si="4"/>
        <v>0.48346428191105756</v>
      </c>
      <c r="O14" s="14">
        <f t="shared" si="5"/>
        <v>0.56941348758413424</v>
      </c>
      <c r="P14" s="14">
        <f t="shared" si="6"/>
        <v>0.64461904254807678</v>
      </c>
      <c r="Q14" s="14" t="e">
        <f>#REF!/$A14</f>
        <v>#REF!</v>
      </c>
    </row>
    <row r="16" spans="1:18" ht="27.6" x14ac:dyDescent="0.4">
      <c r="A16" s="25" t="s">
        <v>142</v>
      </c>
      <c r="B16" s="26"/>
      <c r="C16" s="26"/>
      <c r="D16" s="26"/>
      <c r="E16" s="26"/>
      <c r="F16" s="26"/>
      <c r="G16" s="26"/>
      <c r="H16" s="26"/>
      <c r="K16" s="27" t="s">
        <v>143</v>
      </c>
      <c r="L16" s="28"/>
      <c r="M16" s="28"/>
      <c r="N16" s="28"/>
      <c r="O16" s="28"/>
      <c r="P16" s="28"/>
      <c r="Q16" s="28"/>
      <c r="R16" s="28"/>
    </row>
    <row r="17" spans="1:17" x14ac:dyDescent="0.4">
      <c r="A17" s="1" t="s">
        <v>29</v>
      </c>
      <c r="B17" s="14" t="s">
        <v>8</v>
      </c>
      <c r="C17" s="14" t="s">
        <v>9</v>
      </c>
      <c r="D17" s="14" t="s">
        <v>10</v>
      </c>
      <c r="E17" s="14" t="s">
        <v>11</v>
      </c>
      <c r="F17" s="14" t="s">
        <v>31</v>
      </c>
      <c r="G17" s="14" t="s">
        <v>13</v>
      </c>
      <c r="H17" s="14" t="s">
        <v>33</v>
      </c>
      <c r="K17" s="14" t="s">
        <v>8</v>
      </c>
      <c r="L17" s="14" t="s">
        <v>9</v>
      </c>
      <c r="M17" s="14" t="s">
        <v>10</v>
      </c>
      <c r="N17" s="14" t="s">
        <v>11</v>
      </c>
      <c r="O17" s="14" t="s">
        <v>31</v>
      </c>
      <c r="P17" s="14" t="s">
        <v>13</v>
      </c>
      <c r="Q17" s="14" t="s">
        <v>33</v>
      </c>
    </row>
    <row r="18" spans="1:17" x14ac:dyDescent="0.4">
      <c r="A18" s="2">
        <v>44</v>
      </c>
      <c r="B18" s="16">
        <f>B4/1.7</f>
        <v>15.130147058823528</v>
      </c>
      <c r="C18" s="16">
        <f>C4/1.7</f>
        <v>22.695220588235294</v>
      </c>
      <c r="D18" s="16">
        <f>D4/1.7</f>
        <v>30.260294117647057</v>
      </c>
      <c r="E18" s="16">
        <f>E4/1.7</f>
        <v>37.825367647058819</v>
      </c>
      <c r="F18" s="16">
        <f>F4/1.7</f>
        <v>45.390441176470588</v>
      </c>
      <c r="G18" s="16">
        <f>G4/1.7</f>
        <v>53.45985294117645</v>
      </c>
      <c r="H18" s="16">
        <f>H4/1.7</f>
        <v>60.520588235294113</v>
      </c>
      <c r="K18" s="14">
        <f>B18/$A18</f>
        <v>0.34386697860962562</v>
      </c>
      <c r="L18" s="14">
        <f>D18/$A18</f>
        <v>0.68773395721925124</v>
      </c>
      <c r="M18" s="14">
        <f>F18/$A18</f>
        <v>1.0316009358288769</v>
      </c>
      <c r="N18" s="14">
        <f>E18/$A18</f>
        <v>0.85966744652406402</v>
      </c>
      <c r="O18" s="14">
        <f>G18/$A18</f>
        <v>1.2149966577540103</v>
      </c>
      <c r="P18" s="14">
        <f>G18/$A18</f>
        <v>1.2149966577540103</v>
      </c>
      <c r="Q18" s="14">
        <f>H18/$A18</f>
        <v>1.3754679144385025</v>
      </c>
    </row>
    <row r="19" spans="1:17" x14ac:dyDescent="0.4">
      <c r="A19" s="2">
        <v>48</v>
      </c>
      <c r="B19" s="16">
        <f>B5/1.7</f>
        <v>15.926470588235293</v>
      </c>
      <c r="C19" s="16">
        <f>C5/1.7</f>
        <v>23.889705882352938</v>
      </c>
      <c r="D19" s="16">
        <f>D5/1.7</f>
        <v>31.852941176470587</v>
      </c>
      <c r="E19" s="16">
        <f>E5/1.7</f>
        <v>39.816176470588239</v>
      </c>
      <c r="F19" s="16">
        <f>F5/1.7</f>
        <v>47.779411764705877</v>
      </c>
      <c r="G19" s="16">
        <f>G5/1.7</f>
        <v>56.273529411764692</v>
      </c>
      <c r="H19" s="16">
        <f>H5/1.7</f>
        <v>63.705882352941174</v>
      </c>
      <c r="K19" s="14">
        <f t="shared" ref="K19:K26" si="10">B19/$A19</f>
        <v>0.33180147058823528</v>
      </c>
      <c r="L19" s="14">
        <f t="shared" ref="L19:L26" si="11">D19/$A19</f>
        <v>0.66360294117647056</v>
      </c>
      <c r="M19" s="14">
        <f t="shared" ref="M19:M26" si="12">F19/$A19</f>
        <v>0.99540441176470573</v>
      </c>
      <c r="N19" s="14">
        <f t="shared" ref="N19:N26" si="13">E19/$A19</f>
        <v>0.82950367647058831</v>
      </c>
      <c r="O19" s="14">
        <f t="shared" ref="O19:O26" si="14">G19/$A19</f>
        <v>1.1723651960784311</v>
      </c>
      <c r="P19" s="14">
        <f t="shared" ref="P19:Q26" si="15">G19/$A19</f>
        <v>1.1723651960784311</v>
      </c>
      <c r="Q19" s="14">
        <f t="shared" si="15"/>
        <v>1.3272058823529411</v>
      </c>
    </row>
    <row r="20" spans="1:17" x14ac:dyDescent="0.4">
      <c r="A20" s="2">
        <v>52</v>
      </c>
      <c r="B20" s="16">
        <f t="shared" ref="B20:H20" si="16">B6/1.7</f>
        <v>16.764705882352942</v>
      </c>
      <c r="C20" s="16">
        <f t="shared" si="16"/>
        <v>25.147058823529413</v>
      </c>
      <c r="D20" s="16">
        <f t="shared" si="16"/>
        <v>33.529411764705884</v>
      </c>
      <c r="E20" s="16">
        <f t="shared" si="16"/>
        <v>41.911764705882355</v>
      </c>
      <c r="F20" s="16">
        <f t="shared" si="16"/>
        <v>50.294117647058826</v>
      </c>
      <c r="G20" s="16">
        <f t="shared" si="16"/>
        <v>59.235294117647051</v>
      </c>
      <c r="H20" s="16">
        <f t="shared" si="16"/>
        <v>67.058823529411768</v>
      </c>
      <c r="K20" s="14">
        <f t="shared" si="10"/>
        <v>0.32239819004524889</v>
      </c>
      <c r="L20" s="14">
        <f t="shared" si="11"/>
        <v>0.64479638009049778</v>
      </c>
      <c r="M20" s="14">
        <f t="shared" si="12"/>
        <v>0.96719457013574661</v>
      </c>
      <c r="N20" s="14">
        <f t="shared" si="13"/>
        <v>0.8059954751131222</v>
      </c>
      <c r="O20" s="14">
        <f t="shared" si="14"/>
        <v>1.1391402714932126</v>
      </c>
      <c r="P20" s="14">
        <f t="shared" si="15"/>
        <v>1.1391402714932126</v>
      </c>
      <c r="Q20" s="14">
        <f t="shared" si="15"/>
        <v>1.2895927601809956</v>
      </c>
    </row>
    <row r="21" spans="1:17" x14ac:dyDescent="0.4">
      <c r="A21" s="2">
        <v>56</v>
      </c>
      <c r="B21" s="16">
        <f t="shared" ref="B21:H21" si="17">B7/1.7</f>
        <v>17.647058823529413</v>
      </c>
      <c r="C21" s="16">
        <f t="shared" si="17"/>
        <v>26.47058823529412</v>
      </c>
      <c r="D21" s="16">
        <f t="shared" si="17"/>
        <v>35.294117647058826</v>
      </c>
      <c r="E21" s="16">
        <f t="shared" si="17"/>
        <v>44.117647058823529</v>
      </c>
      <c r="F21" s="16">
        <f t="shared" si="17"/>
        <v>52.941176470588239</v>
      </c>
      <c r="G21" s="16">
        <f t="shared" si="17"/>
        <v>62.352941176470587</v>
      </c>
      <c r="H21" s="16">
        <f t="shared" si="17"/>
        <v>70.588235294117652</v>
      </c>
      <c r="K21" s="14">
        <f t="shared" si="10"/>
        <v>0.31512605042016811</v>
      </c>
      <c r="L21" s="14">
        <f t="shared" si="11"/>
        <v>0.63025210084033623</v>
      </c>
      <c r="M21" s="14">
        <f t="shared" si="12"/>
        <v>0.94537815126050428</v>
      </c>
      <c r="N21" s="14">
        <f t="shared" si="13"/>
        <v>0.78781512605042014</v>
      </c>
      <c r="O21" s="14">
        <f t="shared" si="14"/>
        <v>1.1134453781512605</v>
      </c>
      <c r="P21" s="14">
        <f t="shared" si="15"/>
        <v>1.1134453781512605</v>
      </c>
      <c r="Q21" s="14">
        <f t="shared" si="15"/>
        <v>1.2605042016806725</v>
      </c>
    </row>
    <row r="22" spans="1:17" x14ac:dyDescent="0.4">
      <c r="A22" s="2">
        <v>60</v>
      </c>
      <c r="B22" s="16">
        <f t="shared" ref="B22:H22" si="18">B8/1.7</f>
        <v>16.764705882352942</v>
      </c>
      <c r="C22" s="16">
        <f t="shared" si="18"/>
        <v>25.147058823529413</v>
      </c>
      <c r="D22" s="16">
        <f t="shared" si="18"/>
        <v>33.529411764705884</v>
      </c>
      <c r="E22" s="16">
        <f t="shared" si="18"/>
        <v>41.911764705882355</v>
      </c>
      <c r="F22" s="16">
        <f t="shared" si="18"/>
        <v>50.294117647058826</v>
      </c>
      <c r="G22" s="16">
        <f t="shared" si="18"/>
        <v>59.235294117647051</v>
      </c>
      <c r="H22" s="16">
        <f t="shared" si="18"/>
        <v>67.058823529411768</v>
      </c>
      <c r="K22" s="14">
        <f t="shared" si="10"/>
        <v>0.27941176470588236</v>
      </c>
      <c r="L22" s="14">
        <f t="shared" si="11"/>
        <v>0.55882352941176472</v>
      </c>
      <c r="M22" s="14">
        <f t="shared" si="12"/>
        <v>0.83823529411764708</v>
      </c>
      <c r="N22" s="14">
        <f t="shared" si="13"/>
        <v>0.69852941176470595</v>
      </c>
      <c r="O22" s="14">
        <f t="shared" si="14"/>
        <v>0.98725490196078414</v>
      </c>
      <c r="P22" s="14">
        <f t="shared" si="15"/>
        <v>0.98725490196078414</v>
      </c>
      <c r="Q22" s="14">
        <f t="shared" si="15"/>
        <v>1.1176470588235294</v>
      </c>
    </row>
    <row r="23" spans="1:17" x14ac:dyDescent="0.4">
      <c r="A23" s="2">
        <v>67</v>
      </c>
      <c r="B23" s="16">
        <f t="shared" ref="B23:H23" si="19">B9/1.7</f>
        <v>15.926470588235293</v>
      </c>
      <c r="C23" s="16">
        <f t="shared" si="19"/>
        <v>23.889705882352938</v>
      </c>
      <c r="D23" s="16">
        <f t="shared" si="19"/>
        <v>31.852941176470587</v>
      </c>
      <c r="E23" s="16">
        <f t="shared" si="19"/>
        <v>39.816176470588239</v>
      </c>
      <c r="F23" s="16">
        <f t="shared" si="19"/>
        <v>47.779411764705877</v>
      </c>
      <c r="G23" s="16">
        <f t="shared" si="19"/>
        <v>56.273529411764692</v>
      </c>
      <c r="H23" s="16">
        <f t="shared" si="19"/>
        <v>63.705882352941174</v>
      </c>
      <c r="K23" s="14">
        <f t="shared" si="10"/>
        <v>0.23770851624231781</v>
      </c>
      <c r="L23" s="14">
        <f t="shared" si="11"/>
        <v>0.47541703248463563</v>
      </c>
      <c r="M23" s="14">
        <f t="shared" si="12"/>
        <v>0.71312554872695344</v>
      </c>
      <c r="N23" s="14">
        <f t="shared" si="13"/>
        <v>0.59427129060579464</v>
      </c>
      <c r="O23" s="14">
        <f t="shared" si="14"/>
        <v>0.83990342405618945</v>
      </c>
      <c r="P23" s="14">
        <f t="shared" si="15"/>
        <v>0.83990342405618945</v>
      </c>
      <c r="Q23" s="14">
        <f t="shared" si="15"/>
        <v>0.95083406496927125</v>
      </c>
    </row>
    <row r="24" spans="1:17" x14ac:dyDescent="0.4">
      <c r="A24" s="2">
        <v>75</v>
      </c>
      <c r="B24" s="16">
        <f t="shared" ref="B24:H24" si="20">B10/1.7</f>
        <v>15.130147058823528</v>
      </c>
      <c r="C24" s="16">
        <f t="shared" si="20"/>
        <v>22.695220588235294</v>
      </c>
      <c r="D24" s="16">
        <f t="shared" si="20"/>
        <v>30.260294117647057</v>
      </c>
      <c r="E24" s="16">
        <f t="shared" si="20"/>
        <v>37.825367647058819</v>
      </c>
      <c r="F24" s="16">
        <f t="shared" si="20"/>
        <v>45.390441176470588</v>
      </c>
      <c r="G24" s="16">
        <f t="shared" si="20"/>
        <v>53.45985294117645</v>
      </c>
      <c r="H24" s="16">
        <f t="shared" si="20"/>
        <v>60.520588235294113</v>
      </c>
      <c r="K24" s="14">
        <f t="shared" si="10"/>
        <v>0.20173529411764704</v>
      </c>
      <c r="L24" s="14">
        <f t="shared" si="11"/>
        <v>0.40347058823529408</v>
      </c>
      <c r="M24" s="14">
        <f t="shared" si="12"/>
        <v>0.60520588235294115</v>
      </c>
      <c r="N24" s="14">
        <f t="shared" si="13"/>
        <v>0.50433823529411759</v>
      </c>
      <c r="O24" s="14">
        <f t="shared" si="14"/>
        <v>0.71279803921568596</v>
      </c>
      <c r="P24" s="14">
        <f t="shared" si="15"/>
        <v>0.71279803921568596</v>
      </c>
      <c r="Q24" s="14">
        <f t="shared" si="15"/>
        <v>0.80694117647058816</v>
      </c>
    </row>
    <row r="25" spans="1:17" x14ac:dyDescent="0.4">
      <c r="A25" s="2">
        <v>82</v>
      </c>
      <c r="B25" s="16">
        <f t="shared" ref="B25:H25" si="21">B11/1.7</f>
        <v>14.373639705882352</v>
      </c>
      <c r="C25" s="16">
        <f t="shared" si="21"/>
        <v>21.560459558823528</v>
      </c>
      <c r="D25" s="16">
        <f t="shared" si="21"/>
        <v>28.747279411764705</v>
      </c>
      <c r="E25" s="16">
        <f t="shared" si="21"/>
        <v>35.934099264705878</v>
      </c>
      <c r="F25" s="16">
        <f t="shared" si="21"/>
        <v>43.120919117647055</v>
      </c>
      <c r="G25" s="16">
        <f t="shared" si="21"/>
        <v>50.786860294117631</v>
      </c>
      <c r="H25" s="16">
        <f t="shared" si="21"/>
        <v>57.49455882352941</v>
      </c>
      <c r="K25" s="14">
        <f t="shared" si="10"/>
        <v>0.17528828909612626</v>
      </c>
      <c r="L25" s="14">
        <f t="shared" si="11"/>
        <v>0.35057657819225252</v>
      </c>
      <c r="M25" s="14">
        <f t="shared" si="12"/>
        <v>0.52586486728837878</v>
      </c>
      <c r="N25" s="14">
        <f t="shared" si="13"/>
        <v>0.43822072274031559</v>
      </c>
      <c r="O25" s="14">
        <f t="shared" si="14"/>
        <v>0.61935195480631255</v>
      </c>
      <c r="P25" s="14">
        <f t="shared" si="15"/>
        <v>0.61935195480631255</v>
      </c>
      <c r="Q25" s="14">
        <f t="shared" si="15"/>
        <v>0.70115315638450504</v>
      </c>
    </row>
    <row r="26" spans="1:17" x14ac:dyDescent="0.4">
      <c r="A26" s="2">
        <v>90</v>
      </c>
      <c r="B26" s="16">
        <f t="shared" ref="B26:H26" si="22">B12/1.7</f>
        <v>13.654957720588234</v>
      </c>
      <c r="C26" s="16">
        <f t="shared" si="22"/>
        <v>20.48243658088235</v>
      </c>
      <c r="D26" s="16">
        <f t="shared" si="22"/>
        <v>27.309915441176468</v>
      </c>
      <c r="E26" s="16">
        <f t="shared" si="22"/>
        <v>34.137394301470586</v>
      </c>
      <c r="F26" s="16">
        <f t="shared" si="22"/>
        <v>40.9648731617647</v>
      </c>
      <c r="G26" s="16">
        <f t="shared" si="22"/>
        <v>48.247517279411746</v>
      </c>
      <c r="H26" s="16">
        <f t="shared" si="22"/>
        <v>54.619830882352936</v>
      </c>
      <c r="K26" s="14">
        <f t="shared" si="10"/>
        <v>0.15172175245098038</v>
      </c>
      <c r="L26" s="14">
        <f t="shared" si="11"/>
        <v>0.30344350490196076</v>
      </c>
      <c r="M26" s="14">
        <f t="shared" si="12"/>
        <v>0.45516525735294111</v>
      </c>
      <c r="N26" s="14">
        <f t="shared" si="13"/>
        <v>0.37930438112745096</v>
      </c>
      <c r="O26" s="14">
        <f t="shared" si="14"/>
        <v>0.53608352532679715</v>
      </c>
      <c r="P26" s="14">
        <f t="shared" si="15"/>
        <v>0.53608352532679715</v>
      </c>
      <c r="Q26" s="14">
        <f t="shared" si="15"/>
        <v>0.60688700980392152</v>
      </c>
    </row>
    <row r="27" spans="1:17" x14ac:dyDescent="0.4">
      <c r="A27" s="4"/>
      <c r="B27" s="16"/>
      <c r="C27" s="16"/>
      <c r="D27" s="16"/>
      <c r="E27" s="16"/>
      <c r="F27" s="16"/>
      <c r="G27" s="16"/>
      <c r="H27" s="16"/>
      <c r="I27" s="5"/>
    </row>
    <row r="28" spans="1:17" x14ac:dyDescent="0.4">
      <c r="A28" s="4"/>
      <c r="B28" s="16"/>
      <c r="C28" s="16"/>
      <c r="D28" s="16"/>
      <c r="E28" s="16"/>
      <c r="F28" s="16"/>
      <c r="G28" s="16"/>
      <c r="H28" s="16"/>
      <c r="I28" s="5"/>
    </row>
  </sheetData>
  <mergeCells count="5">
    <mergeCell ref="A2:H2"/>
    <mergeCell ref="K2:R2"/>
    <mergeCell ref="A16:H16"/>
    <mergeCell ref="K16:R16"/>
    <mergeCell ref="A1:H1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abSelected="1" topLeftCell="A2" zoomScale="94" zoomScaleNormal="94" workbookViewId="0">
      <selection activeCell="S6" sqref="S6"/>
    </sheetView>
  </sheetViews>
  <sheetFormatPr defaultRowHeight="17.399999999999999" x14ac:dyDescent="0.4"/>
  <sheetData>
    <row r="1" spans="1:18" s="14" customFormat="1" ht="25.2" x14ac:dyDescent="0.4">
      <c r="A1" s="2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8" s="14" customFormat="1" ht="25.2" x14ac:dyDescent="0.4">
      <c r="A2" s="30" t="s">
        <v>158</v>
      </c>
      <c r="B2" s="30"/>
      <c r="C2" s="30"/>
      <c r="D2" s="30"/>
      <c r="E2" s="30"/>
      <c r="F2" s="30"/>
      <c r="G2" s="30"/>
      <c r="H2" s="30"/>
      <c r="I2" s="24"/>
      <c r="J2" s="24"/>
      <c r="K2" s="24"/>
      <c r="L2" s="24"/>
      <c r="M2" s="24"/>
      <c r="N2" s="24"/>
      <c r="O2" s="24"/>
      <c r="P2" s="24"/>
      <c r="Q2" s="24"/>
    </row>
    <row r="3" spans="1:18" ht="25.2" x14ac:dyDescent="0.4">
      <c r="A3" s="25" t="s">
        <v>105</v>
      </c>
      <c r="B3" s="26"/>
      <c r="C3" s="26"/>
      <c r="D3" s="26"/>
      <c r="E3" s="26"/>
      <c r="F3" s="26"/>
      <c r="G3" s="26"/>
      <c r="H3" s="26"/>
      <c r="I3" s="14"/>
      <c r="J3" s="14"/>
      <c r="K3" s="25" t="s">
        <v>107</v>
      </c>
      <c r="L3" s="26"/>
      <c r="M3" s="26"/>
      <c r="N3" s="26"/>
      <c r="O3" s="26"/>
      <c r="P3" s="26"/>
      <c r="Q3" s="26"/>
      <c r="R3" s="26"/>
    </row>
    <row r="4" spans="1:18" x14ac:dyDescent="0.4">
      <c r="A4" s="1" t="s">
        <v>29</v>
      </c>
      <c r="B4" s="14" t="s">
        <v>8</v>
      </c>
      <c r="C4" s="14" t="s">
        <v>9</v>
      </c>
      <c r="D4" s="14" t="s">
        <v>10</v>
      </c>
      <c r="E4" s="14" t="s">
        <v>11</v>
      </c>
      <c r="F4" s="14" t="s">
        <v>31</v>
      </c>
      <c r="G4" s="14" t="s">
        <v>13</v>
      </c>
      <c r="H4" s="14" t="s">
        <v>33</v>
      </c>
      <c r="I4" s="14"/>
      <c r="J4" s="14"/>
      <c r="K4" s="14" t="s">
        <v>8</v>
      </c>
      <c r="L4" s="14" t="s">
        <v>9</v>
      </c>
      <c r="M4" s="14" t="s">
        <v>10</v>
      </c>
      <c r="N4" s="14" t="s">
        <v>11</v>
      </c>
      <c r="O4" s="14" t="s">
        <v>31</v>
      </c>
      <c r="P4" s="14" t="s">
        <v>13</v>
      </c>
      <c r="Q4" s="14" t="s">
        <v>33</v>
      </c>
      <c r="R4" s="14"/>
    </row>
    <row r="5" spans="1:18" x14ac:dyDescent="0.4">
      <c r="A5" s="3">
        <v>55</v>
      </c>
      <c r="B5" s="16">
        <f t="shared" ref="B5:H7" si="0">B6*0.95</f>
        <v>8.5737500000000004</v>
      </c>
      <c r="C5" s="16">
        <f t="shared" si="0"/>
        <v>21.434374999999999</v>
      </c>
      <c r="D5" s="16">
        <f t="shared" si="0"/>
        <v>34.295000000000002</v>
      </c>
      <c r="E5" s="16">
        <f t="shared" si="0"/>
        <v>68.59</v>
      </c>
      <c r="F5" s="16">
        <f t="shared" si="0"/>
        <v>102.88499999999999</v>
      </c>
      <c r="G5" s="16">
        <f t="shared" si="0"/>
        <v>154.32749999999999</v>
      </c>
      <c r="H5" s="16">
        <f t="shared" si="0"/>
        <v>257.21249999999998</v>
      </c>
      <c r="I5" s="14"/>
      <c r="J5" s="14"/>
      <c r="K5" s="14">
        <f t="shared" ref="K5:Q15" si="1">B5/$A5</f>
        <v>0.15588636363636366</v>
      </c>
      <c r="L5" s="14">
        <f t="shared" si="1"/>
        <v>0.38971590909090909</v>
      </c>
      <c r="M5" s="14">
        <f t="shared" si="1"/>
        <v>0.62354545454545462</v>
      </c>
      <c r="N5" s="14">
        <f t="shared" si="1"/>
        <v>1.2470909090909092</v>
      </c>
      <c r="O5" s="14">
        <f t="shared" si="1"/>
        <v>1.8706363636363634</v>
      </c>
      <c r="P5" s="14">
        <f t="shared" si="1"/>
        <v>2.8059545454545454</v>
      </c>
      <c r="Q5" s="14">
        <f t="shared" si="1"/>
        <v>4.6765909090909084</v>
      </c>
      <c r="R5" s="14"/>
    </row>
    <row r="6" spans="1:18" x14ac:dyDescent="0.4">
      <c r="A6" s="3">
        <v>60</v>
      </c>
      <c r="B6" s="16">
        <f t="shared" si="0"/>
        <v>9.0250000000000004</v>
      </c>
      <c r="C6" s="16">
        <f t="shared" si="0"/>
        <v>22.5625</v>
      </c>
      <c r="D6" s="16">
        <f t="shared" si="0"/>
        <v>36.1</v>
      </c>
      <c r="E6" s="16">
        <f t="shared" si="0"/>
        <v>72.2</v>
      </c>
      <c r="F6" s="16">
        <f t="shared" si="0"/>
        <v>108.3</v>
      </c>
      <c r="G6" s="16">
        <f t="shared" si="0"/>
        <v>162.44999999999999</v>
      </c>
      <c r="H6" s="16">
        <f t="shared" si="0"/>
        <v>270.75</v>
      </c>
      <c r="I6" s="14"/>
      <c r="J6" s="14"/>
      <c r="K6" s="14">
        <f t="shared" si="1"/>
        <v>0.15041666666666667</v>
      </c>
      <c r="L6" s="14">
        <f t="shared" si="1"/>
        <v>0.37604166666666666</v>
      </c>
      <c r="M6" s="14">
        <f t="shared" si="1"/>
        <v>0.60166666666666668</v>
      </c>
      <c r="N6" s="14">
        <f t="shared" si="1"/>
        <v>1.2033333333333334</v>
      </c>
      <c r="O6" s="14">
        <f t="shared" si="1"/>
        <v>1.8049999999999999</v>
      </c>
      <c r="P6" s="14">
        <f t="shared" si="1"/>
        <v>2.7075</v>
      </c>
      <c r="Q6" s="14">
        <f t="shared" si="1"/>
        <v>4.5125000000000002</v>
      </c>
      <c r="R6" s="14"/>
    </row>
    <row r="7" spans="1:18" x14ac:dyDescent="0.4">
      <c r="A7" s="3">
        <v>65</v>
      </c>
      <c r="B7" s="16">
        <f>B8*0.95</f>
        <v>9.5</v>
      </c>
      <c r="C7" s="16">
        <f t="shared" si="0"/>
        <v>23.75</v>
      </c>
      <c r="D7" s="16">
        <f t="shared" si="0"/>
        <v>38</v>
      </c>
      <c r="E7" s="16">
        <f t="shared" si="0"/>
        <v>76</v>
      </c>
      <c r="F7" s="16">
        <f t="shared" si="0"/>
        <v>114</v>
      </c>
      <c r="G7" s="16">
        <f t="shared" si="0"/>
        <v>171</v>
      </c>
      <c r="H7" s="16">
        <f t="shared" si="0"/>
        <v>285</v>
      </c>
      <c r="I7" s="14"/>
      <c r="J7" s="14"/>
      <c r="K7" s="14">
        <f t="shared" si="1"/>
        <v>0.14615384615384616</v>
      </c>
      <c r="L7" s="14">
        <f t="shared" si="1"/>
        <v>0.36538461538461536</v>
      </c>
      <c r="M7" s="14">
        <f t="shared" si="1"/>
        <v>0.58461538461538465</v>
      </c>
      <c r="N7" s="14">
        <f t="shared" si="1"/>
        <v>1.1692307692307693</v>
      </c>
      <c r="O7" s="14">
        <f t="shared" si="1"/>
        <v>1.7538461538461538</v>
      </c>
      <c r="P7" s="14">
        <f t="shared" si="1"/>
        <v>2.6307692307692307</v>
      </c>
      <c r="Q7" s="14">
        <f t="shared" si="1"/>
        <v>4.384615384615385</v>
      </c>
      <c r="R7" s="14"/>
    </row>
    <row r="8" spans="1:18" x14ac:dyDescent="0.4">
      <c r="A8" s="3">
        <v>70</v>
      </c>
      <c r="B8" s="19">
        <v>10</v>
      </c>
      <c r="C8" s="19">
        <v>25</v>
      </c>
      <c r="D8" s="19">
        <v>40</v>
      </c>
      <c r="E8" s="19">
        <v>80</v>
      </c>
      <c r="F8" s="20">
        <v>120</v>
      </c>
      <c r="G8" s="19">
        <v>180</v>
      </c>
      <c r="H8" s="19">
        <v>300</v>
      </c>
      <c r="I8" s="14"/>
      <c r="J8" s="14"/>
      <c r="K8" s="14">
        <f t="shared" si="1"/>
        <v>0.14285714285714285</v>
      </c>
      <c r="L8" s="14">
        <f t="shared" si="1"/>
        <v>0.35714285714285715</v>
      </c>
      <c r="M8" s="14">
        <f t="shared" si="1"/>
        <v>0.5714285714285714</v>
      </c>
      <c r="N8" s="14">
        <f t="shared" si="1"/>
        <v>1.1428571428571428</v>
      </c>
      <c r="O8" s="14">
        <f t="shared" si="1"/>
        <v>1.7142857142857142</v>
      </c>
      <c r="P8" s="14">
        <f t="shared" si="1"/>
        <v>2.5714285714285716</v>
      </c>
      <c r="Q8" s="14">
        <f t="shared" si="1"/>
        <v>4.2857142857142856</v>
      </c>
      <c r="R8" s="14"/>
    </row>
    <row r="9" spans="1:18" x14ac:dyDescent="0.4">
      <c r="A9" s="3">
        <v>75</v>
      </c>
      <c r="B9" s="18">
        <f>B8*0.95</f>
        <v>9.5</v>
      </c>
      <c r="C9" s="18">
        <f t="shared" ref="C9:H9" si="2">C8*0.95</f>
        <v>23.75</v>
      </c>
      <c r="D9" s="18">
        <f t="shared" si="2"/>
        <v>38</v>
      </c>
      <c r="E9" s="18">
        <f t="shared" si="2"/>
        <v>76</v>
      </c>
      <c r="F9" s="18">
        <f t="shared" si="2"/>
        <v>114</v>
      </c>
      <c r="G9" s="18">
        <f t="shared" si="2"/>
        <v>171</v>
      </c>
      <c r="H9" s="18">
        <f t="shared" si="2"/>
        <v>285</v>
      </c>
      <c r="I9" s="14"/>
      <c r="J9" s="14"/>
      <c r="K9" s="14">
        <f t="shared" si="1"/>
        <v>0.12666666666666668</v>
      </c>
      <c r="L9" s="14">
        <f t="shared" si="1"/>
        <v>0.31666666666666665</v>
      </c>
      <c r="M9" s="14">
        <f t="shared" si="1"/>
        <v>0.50666666666666671</v>
      </c>
      <c r="N9" s="14">
        <f t="shared" si="1"/>
        <v>1.0133333333333334</v>
      </c>
      <c r="O9" s="14">
        <f t="shared" si="1"/>
        <v>1.52</v>
      </c>
      <c r="P9" s="14">
        <f t="shared" si="1"/>
        <v>2.2799999999999998</v>
      </c>
      <c r="Q9" s="14">
        <f t="shared" si="1"/>
        <v>3.8</v>
      </c>
      <c r="R9" s="14"/>
    </row>
    <row r="10" spans="1:18" x14ac:dyDescent="0.4">
      <c r="A10" s="3">
        <v>82</v>
      </c>
      <c r="B10" s="18">
        <f t="shared" ref="B10:B15" si="3">B9*0.95</f>
        <v>9.0250000000000004</v>
      </c>
      <c r="C10" s="18">
        <f t="shared" ref="C10:C15" si="4">C9*0.95</f>
        <v>22.5625</v>
      </c>
      <c r="D10" s="18">
        <f t="shared" ref="D10:D15" si="5">D9*0.95</f>
        <v>36.1</v>
      </c>
      <c r="E10" s="18">
        <f t="shared" ref="E10:E15" si="6">E9*0.95</f>
        <v>72.2</v>
      </c>
      <c r="F10" s="18">
        <f t="shared" ref="F10:F15" si="7">F9*0.95</f>
        <v>108.3</v>
      </c>
      <c r="G10" s="18">
        <f t="shared" ref="G10:G15" si="8">G9*0.95</f>
        <v>162.44999999999999</v>
      </c>
      <c r="H10" s="18">
        <f t="shared" ref="H10:H15" si="9">H9*0.95</f>
        <v>270.75</v>
      </c>
      <c r="I10" s="14"/>
      <c r="J10" s="14"/>
      <c r="K10" s="14">
        <f t="shared" si="1"/>
        <v>0.1100609756097561</v>
      </c>
      <c r="L10" s="14">
        <f t="shared" si="1"/>
        <v>0.27515243902439024</v>
      </c>
      <c r="M10" s="14">
        <f t="shared" si="1"/>
        <v>0.44024390243902439</v>
      </c>
      <c r="N10" s="14">
        <f t="shared" si="1"/>
        <v>0.88048780487804879</v>
      </c>
      <c r="O10" s="14">
        <f t="shared" si="1"/>
        <v>1.3207317073170732</v>
      </c>
      <c r="P10" s="14">
        <f t="shared" si="1"/>
        <v>1.9810975609756096</v>
      </c>
      <c r="Q10" s="14">
        <f t="shared" si="1"/>
        <v>3.3018292682926829</v>
      </c>
      <c r="R10" s="14"/>
    </row>
    <row r="11" spans="1:18" x14ac:dyDescent="0.4">
      <c r="A11" s="3">
        <v>90</v>
      </c>
      <c r="B11" s="18">
        <f t="shared" si="3"/>
        <v>8.5737500000000004</v>
      </c>
      <c r="C11" s="18">
        <f t="shared" si="4"/>
        <v>21.434374999999999</v>
      </c>
      <c r="D11" s="18">
        <f t="shared" si="5"/>
        <v>34.295000000000002</v>
      </c>
      <c r="E11" s="18">
        <f t="shared" si="6"/>
        <v>68.59</v>
      </c>
      <c r="F11" s="18">
        <f t="shared" si="7"/>
        <v>102.88499999999999</v>
      </c>
      <c r="G11" s="18">
        <f t="shared" si="8"/>
        <v>154.32749999999999</v>
      </c>
      <c r="H11" s="18">
        <f t="shared" si="9"/>
        <v>257.21249999999998</v>
      </c>
      <c r="I11" s="14"/>
      <c r="J11" s="14"/>
      <c r="K11" s="14">
        <f t="shared" si="1"/>
        <v>9.5263888888888898E-2</v>
      </c>
      <c r="L11" s="14">
        <f t="shared" si="1"/>
        <v>0.2381597222222222</v>
      </c>
      <c r="M11" s="14">
        <f t="shared" si="1"/>
        <v>0.38105555555555559</v>
      </c>
      <c r="N11" s="14">
        <f t="shared" si="1"/>
        <v>0.76211111111111118</v>
      </c>
      <c r="O11" s="14">
        <f t="shared" si="1"/>
        <v>1.1431666666666667</v>
      </c>
      <c r="P11" s="14">
        <f t="shared" si="1"/>
        <v>1.7147499999999998</v>
      </c>
      <c r="Q11" s="14">
        <f t="shared" si="1"/>
        <v>2.8579166666666662</v>
      </c>
      <c r="R11" s="14"/>
    </row>
    <row r="12" spans="1:18" x14ac:dyDescent="0.4">
      <c r="A12" s="3">
        <v>100</v>
      </c>
      <c r="B12" s="18">
        <f t="shared" si="3"/>
        <v>8.1450624999999999</v>
      </c>
      <c r="C12" s="18">
        <f t="shared" si="4"/>
        <v>20.362656249999997</v>
      </c>
      <c r="D12" s="18">
        <f t="shared" si="5"/>
        <v>32.580249999999999</v>
      </c>
      <c r="E12" s="18">
        <f t="shared" si="6"/>
        <v>65.160499999999999</v>
      </c>
      <c r="F12" s="18">
        <f t="shared" si="7"/>
        <v>97.740749999999991</v>
      </c>
      <c r="G12" s="18">
        <f t="shared" si="8"/>
        <v>146.61112499999999</v>
      </c>
      <c r="H12" s="18">
        <f t="shared" si="9"/>
        <v>244.35187499999998</v>
      </c>
      <c r="I12" s="14"/>
      <c r="J12" s="14"/>
      <c r="K12" s="14">
        <f t="shared" si="1"/>
        <v>8.1450624999999999E-2</v>
      </c>
      <c r="L12" s="14">
        <f t="shared" si="1"/>
        <v>0.20362656249999997</v>
      </c>
      <c r="M12" s="14">
        <f t="shared" si="1"/>
        <v>0.32580249999999999</v>
      </c>
      <c r="N12" s="14">
        <f t="shared" si="1"/>
        <v>0.65160499999999999</v>
      </c>
      <c r="O12" s="14">
        <f t="shared" si="1"/>
        <v>0.97740749999999987</v>
      </c>
      <c r="P12" s="14">
        <f t="shared" si="1"/>
        <v>1.46611125</v>
      </c>
      <c r="Q12" s="14">
        <f t="shared" si="1"/>
        <v>2.44351875</v>
      </c>
      <c r="R12" s="14"/>
    </row>
    <row r="13" spans="1:18" x14ac:dyDescent="0.4">
      <c r="A13" s="3">
        <v>110</v>
      </c>
      <c r="B13" s="18">
        <f t="shared" si="3"/>
        <v>7.7378093749999994</v>
      </c>
      <c r="C13" s="18">
        <f t="shared" si="4"/>
        <v>19.344523437499998</v>
      </c>
      <c r="D13" s="18">
        <f t="shared" si="5"/>
        <v>30.951237499999998</v>
      </c>
      <c r="E13" s="18">
        <f t="shared" si="6"/>
        <v>61.902474999999995</v>
      </c>
      <c r="F13" s="18">
        <f t="shared" si="7"/>
        <v>92.853712499999986</v>
      </c>
      <c r="G13" s="18">
        <f t="shared" si="8"/>
        <v>139.28056874999999</v>
      </c>
      <c r="H13" s="18">
        <f t="shared" si="9"/>
        <v>232.13428124999996</v>
      </c>
      <c r="I13" s="14"/>
      <c r="J13" s="14"/>
      <c r="K13" s="14">
        <f t="shared" si="1"/>
        <v>7.0343721590909083E-2</v>
      </c>
      <c r="L13" s="14">
        <f t="shared" si="1"/>
        <v>0.1758593039772727</v>
      </c>
      <c r="M13" s="14">
        <f t="shared" si="1"/>
        <v>0.28137488636363633</v>
      </c>
      <c r="N13" s="14">
        <f t="shared" si="1"/>
        <v>0.56274977272727267</v>
      </c>
      <c r="O13" s="14">
        <f t="shared" si="1"/>
        <v>0.84412465909090895</v>
      </c>
      <c r="P13" s="14">
        <f t="shared" si="1"/>
        <v>1.2661869886363635</v>
      </c>
      <c r="Q13" s="14">
        <f t="shared" si="1"/>
        <v>2.1103116477272725</v>
      </c>
      <c r="R13" s="14"/>
    </row>
    <row r="14" spans="1:18" x14ac:dyDescent="0.4">
      <c r="A14" s="3">
        <v>120</v>
      </c>
      <c r="B14" s="18">
        <f t="shared" si="3"/>
        <v>7.3509189062499996</v>
      </c>
      <c r="C14" s="18">
        <f t="shared" si="4"/>
        <v>18.377297265624996</v>
      </c>
      <c r="D14" s="18">
        <f t="shared" si="5"/>
        <v>29.403675624999998</v>
      </c>
      <c r="E14" s="18">
        <f t="shared" si="6"/>
        <v>58.807351249999996</v>
      </c>
      <c r="F14" s="18">
        <f t="shared" si="7"/>
        <v>88.211026874999988</v>
      </c>
      <c r="G14" s="18">
        <f t="shared" si="8"/>
        <v>132.31654031249997</v>
      </c>
      <c r="H14" s="18">
        <f t="shared" si="9"/>
        <v>220.52756718749995</v>
      </c>
      <c r="I14" s="14"/>
      <c r="J14" s="14"/>
      <c r="K14" s="14">
        <f t="shared" si="1"/>
        <v>6.1257657552083331E-2</v>
      </c>
      <c r="L14" s="14">
        <f t="shared" si="1"/>
        <v>0.15314414388020831</v>
      </c>
      <c r="M14" s="14">
        <f t="shared" si="1"/>
        <v>0.24503063020833332</v>
      </c>
      <c r="N14" s="14">
        <f t="shared" si="1"/>
        <v>0.49006126041666664</v>
      </c>
      <c r="O14" s="14">
        <f t="shared" si="1"/>
        <v>0.73509189062499991</v>
      </c>
      <c r="P14" s="14">
        <f t="shared" si="1"/>
        <v>1.1026378359374998</v>
      </c>
      <c r="Q14" s="14">
        <f t="shared" si="1"/>
        <v>1.8377297265624997</v>
      </c>
      <c r="R14" s="14"/>
    </row>
    <row r="15" spans="1:18" x14ac:dyDescent="0.4">
      <c r="A15" s="3">
        <v>130</v>
      </c>
      <c r="B15" s="18">
        <f t="shared" si="3"/>
        <v>6.9833729609374995</v>
      </c>
      <c r="C15" s="18">
        <f t="shared" si="4"/>
        <v>17.458432402343746</v>
      </c>
      <c r="D15" s="18">
        <f t="shared" si="5"/>
        <v>27.933491843749998</v>
      </c>
      <c r="E15" s="18">
        <f t="shared" si="6"/>
        <v>55.866983687499996</v>
      </c>
      <c r="F15" s="18">
        <f t="shared" si="7"/>
        <v>83.800475531249987</v>
      </c>
      <c r="G15" s="18">
        <f t="shared" si="8"/>
        <v>125.70071329687497</v>
      </c>
      <c r="H15" s="18">
        <f t="shared" si="9"/>
        <v>209.50118882812495</v>
      </c>
      <c r="I15" s="14"/>
      <c r="J15" s="14"/>
      <c r="K15" s="14">
        <f t="shared" si="1"/>
        <v>5.371825354567307E-2</v>
      </c>
      <c r="L15" s="14">
        <f t="shared" si="1"/>
        <v>0.13429563386418267</v>
      </c>
      <c r="M15" s="14">
        <f t="shared" si="1"/>
        <v>0.21487301418269228</v>
      </c>
      <c r="N15" s="14">
        <f t="shared" si="1"/>
        <v>0.42974602836538456</v>
      </c>
      <c r="O15" s="14">
        <f t="shared" si="1"/>
        <v>0.64461904254807678</v>
      </c>
      <c r="P15" s="14">
        <f t="shared" si="1"/>
        <v>0.96692856382211512</v>
      </c>
      <c r="Q15" s="14">
        <f t="shared" si="1"/>
        <v>1.6115476063701919</v>
      </c>
      <c r="R15" s="14"/>
    </row>
    <row r="16" spans="1:18" x14ac:dyDescent="0.4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27.6" x14ac:dyDescent="0.4">
      <c r="A17" s="25" t="s">
        <v>106</v>
      </c>
      <c r="B17" s="26"/>
      <c r="C17" s="26"/>
      <c r="D17" s="26"/>
      <c r="E17" s="26"/>
      <c r="F17" s="26"/>
      <c r="G17" s="26"/>
      <c r="H17" s="26"/>
      <c r="I17" s="14"/>
      <c r="J17" s="14"/>
      <c r="K17" s="27" t="s">
        <v>108</v>
      </c>
      <c r="L17" s="28"/>
      <c r="M17" s="28"/>
      <c r="N17" s="28"/>
      <c r="O17" s="28"/>
      <c r="P17" s="28"/>
      <c r="Q17" s="28"/>
      <c r="R17" s="28"/>
    </row>
    <row r="18" spans="1:18" x14ac:dyDescent="0.4">
      <c r="A18" s="1" t="s">
        <v>29</v>
      </c>
      <c r="B18" s="14" t="s">
        <v>8</v>
      </c>
      <c r="C18" s="14" t="s">
        <v>9</v>
      </c>
      <c r="D18" s="14" t="s">
        <v>10</v>
      </c>
      <c r="E18" s="14" t="s">
        <v>11</v>
      </c>
      <c r="F18" s="14" t="s">
        <v>31</v>
      </c>
      <c r="G18" s="14" t="s">
        <v>13</v>
      </c>
      <c r="H18" s="14" t="s">
        <v>33</v>
      </c>
      <c r="I18" s="14"/>
      <c r="J18" s="14"/>
      <c r="K18" s="14" t="s">
        <v>8</v>
      </c>
      <c r="L18" s="14" t="s">
        <v>9</v>
      </c>
      <c r="M18" s="14" t="s">
        <v>10</v>
      </c>
      <c r="N18" s="14" t="s">
        <v>11</v>
      </c>
      <c r="O18" s="14" t="s">
        <v>31</v>
      </c>
      <c r="P18" s="14" t="s">
        <v>13</v>
      </c>
      <c r="Q18" s="14" t="s">
        <v>33</v>
      </c>
      <c r="R18" s="14"/>
    </row>
    <row r="19" spans="1:18" x14ac:dyDescent="0.4">
      <c r="A19" s="2">
        <v>44</v>
      </c>
      <c r="B19" s="16">
        <f>B5/2</f>
        <v>4.2868750000000002</v>
      </c>
      <c r="C19" s="16">
        <f>C5/2</f>
        <v>10.7171875</v>
      </c>
      <c r="D19" s="16">
        <f>D5/2</f>
        <v>17.147500000000001</v>
      </c>
      <c r="E19" s="16">
        <f>E5/2</f>
        <v>34.295000000000002</v>
      </c>
      <c r="F19" s="16">
        <f>F5/2</f>
        <v>51.442499999999995</v>
      </c>
      <c r="G19" s="16">
        <f>G5/2</f>
        <v>77.163749999999993</v>
      </c>
      <c r="H19" s="16">
        <f>H5/2</f>
        <v>128.60624999999999</v>
      </c>
      <c r="I19" s="14"/>
      <c r="J19" s="14"/>
      <c r="K19" s="14">
        <f>B19/$A19</f>
        <v>9.7428977272727271E-2</v>
      </c>
      <c r="L19" s="14">
        <f>D19/$A19</f>
        <v>0.38971590909090909</v>
      </c>
      <c r="M19" s="14">
        <f>F19/$A19</f>
        <v>1.1691477272727271</v>
      </c>
      <c r="N19" s="14">
        <f>E19/$A19</f>
        <v>0.77943181818181817</v>
      </c>
      <c r="O19" s="14">
        <f>G19/$A19</f>
        <v>1.7537215909090909</v>
      </c>
      <c r="P19" s="14">
        <f>G19/$A19</f>
        <v>1.7537215909090909</v>
      </c>
      <c r="Q19" s="14">
        <f>H19/$A19</f>
        <v>2.9228693181818177</v>
      </c>
      <c r="R19" s="14"/>
    </row>
    <row r="20" spans="1:18" x14ac:dyDescent="0.4">
      <c r="A20" s="2">
        <v>48</v>
      </c>
      <c r="B20" s="16">
        <f>B6/2</f>
        <v>4.5125000000000002</v>
      </c>
      <c r="C20" s="16">
        <f>C6/2</f>
        <v>11.28125</v>
      </c>
      <c r="D20" s="16">
        <f>D6/2</f>
        <v>18.05</v>
      </c>
      <c r="E20" s="16">
        <f>E6/2</f>
        <v>36.1</v>
      </c>
      <c r="F20" s="16">
        <f>F6/2</f>
        <v>54.15</v>
      </c>
      <c r="G20" s="16">
        <f>G6/2</f>
        <v>81.224999999999994</v>
      </c>
      <c r="H20" s="16">
        <f>H6/2</f>
        <v>135.375</v>
      </c>
      <c r="I20" s="14"/>
      <c r="J20" s="14"/>
      <c r="K20" s="14">
        <f t="shared" ref="K20:K27" si="10">B20/$A20</f>
        <v>9.4010416666666666E-2</v>
      </c>
      <c r="L20" s="14">
        <f t="shared" ref="L20:L27" si="11">D20/$A20</f>
        <v>0.37604166666666666</v>
      </c>
      <c r="M20" s="14">
        <f t="shared" ref="M20:M27" si="12">F20/$A20</f>
        <v>1.128125</v>
      </c>
      <c r="N20" s="14">
        <f t="shared" ref="N20:N27" si="13">E20/$A20</f>
        <v>0.75208333333333333</v>
      </c>
      <c r="O20" s="14">
        <f t="shared" ref="O20:O27" si="14">G20/$A20</f>
        <v>1.6921875</v>
      </c>
      <c r="P20" s="14">
        <f t="shared" ref="P20:Q27" si="15">G20/$A20</f>
        <v>1.6921875</v>
      </c>
      <c r="Q20" s="14">
        <f t="shared" si="15"/>
        <v>2.8203125</v>
      </c>
      <c r="R20" s="14"/>
    </row>
    <row r="21" spans="1:18" x14ac:dyDescent="0.4">
      <c r="A21" s="2">
        <v>52</v>
      </c>
      <c r="B21" s="16">
        <f>B7/2</f>
        <v>4.75</v>
      </c>
      <c r="C21" s="16">
        <f>C7/2</f>
        <v>11.875</v>
      </c>
      <c r="D21" s="16">
        <f>D7/2</f>
        <v>19</v>
      </c>
      <c r="E21" s="16">
        <f>E7/2</f>
        <v>38</v>
      </c>
      <c r="F21" s="16">
        <f>F7/2</f>
        <v>57</v>
      </c>
      <c r="G21" s="16">
        <f>G7/2</f>
        <v>85.5</v>
      </c>
      <c r="H21" s="16">
        <f>H7/2</f>
        <v>142.5</v>
      </c>
      <c r="I21" s="14"/>
      <c r="J21" s="14"/>
      <c r="K21" s="14">
        <f t="shared" si="10"/>
        <v>9.1346153846153841E-2</v>
      </c>
      <c r="L21" s="14">
        <f t="shared" si="11"/>
        <v>0.36538461538461536</v>
      </c>
      <c r="M21" s="14">
        <f t="shared" si="12"/>
        <v>1.0961538461538463</v>
      </c>
      <c r="N21" s="14">
        <f t="shared" si="13"/>
        <v>0.73076923076923073</v>
      </c>
      <c r="O21" s="14">
        <f t="shared" si="14"/>
        <v>1.6442307692307692</v>
      </c>
      <c r="P21" s="14">
        <f t="shared" si="15"/>
        <v>1.6442307692307692</v>
      </c>
      <c r="Q21" s="14">
        <f t="shared" si="15"/>
        <v>2.7403846153846154</v>
      </c>
      <c r="R21" s="14"/>
    </row>
    <row r="22" spans="1:18" x14ac:dyDescent="0.4">
      <c r="A22" s="2">
        <v>56</v>
      </c>
      <c r="B22" s="16">
        <f>B8/2</f>
        <v>5</v>
      </c>
      <c r="C22" s="16">
        <f>C8/2</f>
        <v>12.5</v>
      </c>
      <c r="D22" s="16">
        <f>D8/2</f>
        <v>20</v>
      </c>
      <c r="E22" s="16">
        <f>E8/2</f>
        <v>40</v>
      </c>
      <c r="F22" s="16">
        <f>F8/2</f>
        <v>60</v>
      </c>
      <c r="G22" s="16">
        <f>G8/2</f>
        <v>90</v>
      </c>
      <c r="H22" s="16">
        <f>H8/2</f>
        <v>150</v>
      </c>
      <c r="I22" s="14"/>
      <c r="J22" s="14"/>
      <c r="K22" s="14">
        <f t="shared" si="10"/>
        <v>8.9285714285714288E-2</v>
      </c>
      <c r="L22" s="14">
        <f t="shared" si="11"/>
        <v>0.35714285714285715</v>
      </c>
      <c r="M22" s="14">
        <f t="shared" si="12"/>
        <v>1.0714285714285714</v>
      </c>
      <c r="N22" s="14">
        <f t="shared" si="13"/>
        <v>0.7142857142857143</v>
      </c>
      <c r="O22" s="14">
        <f t="shared" si="14"/>
        <v>1.6071428571428572</v>
      </c>
      <c r="P22" s="14">
        <f t="shared" si="15"/>
        <v>1.6071428571428572</v>
      </c>
      <c r="Q22" s="14">
        <f t="shared" si="15"/>
        <v>2.6785714285714284</v>
      </c>
      <c r="R22" s="14"/>
    </row>
    <row r="23" spans="1:18" x14ac:dyDescent="0.4">
      <c r="A23" s="2">
        <v>60</v>
      </c>
      <c r="B23" s="16">
        <f>B22*0.95</f>
        <v>4.75</v>
      </c>
      <c r="C23" s="16">
        <f t="shared" ref="C23:H23" si="16">C22*0.95</f>
        <v>11.875</v>
      </c>
      <c r="D23" s="16">
        <f t="shared" si="16"/>
        <v>19</v>
      </c>
      <c r="E23" s="16">
        <f t="shared" si="16"/>
        <v>38</v>
      </c>
      <c r="F23" s="16">
        <f t="shared" si="16"/>
        <v>57</v>
      </c>
      <c r="G23" s="16">
        <f t="shared" si="16"/>
        <v>85.5</v>
      </c>
      <c r="H23" s="16">
        <f t="shared" si="16"/>
        <v>142.5</v>
      </c>
      <c r="I23" s="14"/>
      <c r="J23" s="14"/>
      <c r="K23" s="14">
        <f t="shared" si="10"/>
        <v>7.9166666666666663E-2</v>
      </c>
      <c r="L23" s="14">
        <f t="shared" si="11"/>
        <v>0.31666666666666665</v>
      </c>
      <c r="M23" s="14">
        <f t="shared" si="12"/>
        <v>0.95</v>
      </c>
      <c r="N23" s="14">
        <f t="shared" si="13"/>
        <v>0.6333333333333333</v>
      </c>
      <c r="O23" s="14">
        <f t="shared" si="14"/>
        <v>1.425</v>
      </c>
      <c r="P23" s="14">
        <f t="shared" si="15"/>
        <v>1.425</v>
      </c>
      <c r="Q23" s="14">
        <f t="shared" si="15"/>
        <v>2.375</v>
      </c>
      <c r="R23" s="14"/>
    </row>
    <row r="24" spans="1:18" x14ac:dyDescent="0.4">
      <c r="A24" s="2">
        <v>67</v>
      </c>
      <c r="B24" s="16">
        <f t="shared" ref="B24:B27" si="17">B23*0.95</f>
        <v>4.5125000000000002</v>
      </c>
      <c r="C24" s="16">
        <f t="shared" ref="C24:C27" si="18">C23*0.95</f>
        <v>11.28125</v>
      </c>
      <c r="D24" s="16">
        <f t="shared" ref="D24:D27" si="19">D23*0.95</f>
        <v>18.05</v>
      </c>
      <c r="E24" s="16">
        <f t="shared" ref="E24:E27" si="20">E23*0.95</f>
        <v>36.1</v>
      </c>
      <c r="F24" s="16">
        <f t="shared" ref="F24:F27" si="21">F23*0.95</f>
        <v>54.15</v>
      </c>
      <c r="G24" s="16">
        <f t="shared" ref="G24:G27" si="22">G23*0.95</f>
        <v>81.224999999999994</v>
      </c>
      <c r="H24" s="16">
        <f t="shared" ref="H24:H27" si="23">H23*0.95</f>
        <v>135.375</v>
      </c>
      <c r="I24" s="14"/>
      <c r="J24" s="14"/>
      <c r="K24" s="14">
        <f t="shared" si="10"/>
        <v>6.7350746268656725E-2</v>
      </c>
      <c r="L24" s="14">
        <f t="shared" si="11"/>
        <v>0.2694029850746269</v>
      </c>
      <c r="M24" s="14">
        <f t="shared" si="12"/>
        <v>0.80820895522388059</v>
      </c>
      <c r="N24" s="14">
        <f t="shared" si="13"/>
        <v>0.5388059701492538</v>
      </c>
      <c r="O24" s="14">
        <f t="shared" si="14"/>
        <v>1.2123134328358207</v>
      </c>
      <c r="P24" s="14">
        <f t="shared" si="15"/>
        <v>1.2123134328358207</v>
      </c>
      <c r="Q24" s="14">
        <f t="shared" si="15"/>
        <v>2.0205223880597014</v>
      </c>
      <c r="R24" s="14"/>
    </row>
    <row r="25" spans="1:18" x14ac:dyDescent="0.4">
      <c r="A25" s="2">
        <v>75</v>
      </c>
      <c r="B25" s="16">
        <f t="shared" si="17"/>
        <v>4.2868750000000002</v>
      </c>
      <c r="C25" s="16">
        <f t="shared" si="18"/>
        <v>10.7171875</v>
      </c>
      <c r="D25" s="16">
        <f t="shared" si="19"/>
        <v>17.147500000000001</v>
      </c>
      <c r="E25" s="16">
        <f t="shared" si="20"/>
        <v>34.295000000000002</v>
      </c>
      <c r="F25" s="16">
        <f t="shared" si="21"/>
        <v>51.442499999999995</v>
      </c>
      <c r="G25" s="16">
        <f t="shared" si="22"/>
        <v>77.163749999999993</v>
      </c>
      <c r="H25" s="16">
        <f t="shared" si="23"/>
        <v>128.60624999999999</v>
      </c>
      <c r="I25" s="14"/>
      <c r="J25" s="14"/>
      <c r="K25" s="14">
        <f t="shared" si="10"/>
        <v>5.7158333333333339E-2</v>
      </c>
      <c r="L25" s="14">
        <f t="shared" si="11"/>
        <v>0.22863333333333336</v>
      </c>
      <c r="M25" s="14">
        <f t="shared" si="12"/>
        <v>0.68589999999999995</v>
      </c>
      <c r="N25" s="14">
        <f t="shared" si="13"/>
        <v>0.45726666666666671</v>
      </c>
      <c r="O25" s="14">
        <f t="shared" si="14"/>
        <v>1.0288499999999998</v>
      </c>
      <c r="P25" s="14">
        <f t="shared" si="15"/>
        <v>1.0288499999999998</v>
      </c>
      <c r="Q25" s="14">
        <f t="shared" si="15"/>
        <v>1.7147499999999998</v>
      </c>
      <c r="R25" s="14"/>
    </row>
    <row r="26" spans="1:18" x14ac:dyDescent="0.4">
      <c r="A26" s="2">
        <v>82</v>
      </c>
      <c r="B26" s="16">
        <f t="shared" si="17"/>
        <v>4.0725312499999999</v>
      </c>
      <c r="C26" s="16">
        <f t="shared" si="18"/>
        <v>10.181328124999999</v>
      </c>
      <c r="D26" s="16">
        <f t="shared" si="19"/>
        <v>16.290125</v>
      </c>
      <c r="E26" s="16">
        <f t="shared" si="20"/>
        <v>32.580249999999999</v>
      </c>
      <c r="F26" s="16">
        <f t="shared" si="21"/>
        <v>48.870374999999996</v>
      </c>
      <c r="G26" s="16">
        <f t="shared" si="22"/>
        <v>73.305562499999994</v>
      </c>
      <c r="H26" s="16">
        <f t="shared" si="23"/>
        <v>122.17593749999999</v>
      </c>
      <c r="I26" s="14"/>
      <c r="J26" s="14"/>
      <c r="K26" s="14">
        <f t="shared" si="10"/>
        <v>4.966501524390244E-2</v>
      </c>
      <c r="L26" s="14">
        <f t="shared" si="11"/>
        <v>0.19866006097560976</v>
      </c>
      <c r="M26" s="14">
        <f t="shared" si="12"/>
        <v>0.59598018292682919</v>
      </c>
      <c r="N26" s="14">
        <f t="shared" si="13"/>
        <v>0.39732012195121952</v>
      </c>
      <c r="O26" s="14">
        <f t="shared" si="14"/>
        <v>0.89397027439024379</v>
      </c>
      <c r="P26" s="14">
        <f t="shared" si="15"/>
        <v>0.89397027439024379</v>
      </c>
      <c r="Q26" s="14">
        <f t="shared" si="15"/>
        <v>1.489950457317073</v>
      </c>
      <c r="R26" s="14"/>
    </row>
    <row r="27" spans="1:18" x14ac:dyDescent="0.4">
      <c r="A27" s="2">
        <v>90</v>
      </c>
      <c r="B27" s="16">
        <f t="shared" si="17"/>
        <v>3.8689046874999997</v>
      </c>
      <c r="C27" s="16">
        <f t="shared" si="18"/>
        <v>9.6722617187499988</v>
      </c>
      <c r="D27" s="16">
        <f t="shared" si="19"/>
        <v>15.475618749999999</v>
      </c>
      <c r="E27" s="16">
        <f t="shared" si="20"/>
        <v>30.951237499999998</v>
      </c>
      <c r="F27" s="16">
        <f t="shared" si="21"/>
        <v>46.426856249999993</v>
      </c>
      <c r="G27" s="16">
        <f t="shared" si="22"/>
        <v>69.640284374999993</v>
      </c>
      <c r="H27" s="16">
        <f t="shared" si="23"/>
        <v>116.06714062499998</v>
      </c>
      <c r="I27" s="14"/>
      <c r="J27" s="14"/>
      <c r="K27" s="14">
        <f t="shared" si="10"/>
        <v>4.2987829861111111E-2</v>
      </c>
      <c r="L27" s="14">
        <f t="shared" si="11"/>
        <v>0.17195131944444444</v>
      </c>
      <c r="M27" s="14">
        <f t="shared" si="12"/>
        <v>0.51585395833333325</v>
      </c>
      <c r="N27" s="14">
        <f t="shared" si="13"/>
        <v>0.34390263888888889</v>
      </c>
      <c r="O27" s="14">
        <f t="shared" si="14"/>
        <v>0.77378093749999988</v>
      </c>
      <c r="P27" s="14">
        <f t="shared" si="15"/>
        <v>0.77378093749999988</v>
      </c>
      <c r="Q27" s="14">
        <f t="shared" si="15"/>
        <v>1.289634895833333</v>
      </c>
      <c r="R27" s="14"/>
    </row>
    <row r="28" spans="1:18" x14ac:dyDescent="0.4">
      <c r="A28" s="4"/>
      <c r="B28" s="16"/>
      <c r="C28" s="16"/>
      <c r="D28" s="16"/>
      <c r="E28" s="16"/>
      <c r="F28" s="16"/>
      <c r="G28" s="16"/>
      <c r="H28" s="16"/>
      <c r="I28" s="5"/>
      <c r="J28" s="14"/>
      <c r="K28" s="14"/>
      <c r="L28" s="14"/>
      <c r="M28" s="14"/>
      <c r="N28" s="14"/>
      <c r="O28" s="14"/>
      <c r="P28" s="14"/>
      <c r="Q28" s="14"/>
      <c r="R28" s="14"/>
    </row>
    <row r="29" spans="1:18" x14ac:dyDescent="0.4">
      <c r="A29" s="4"/>
      <c r="B29" s="16"/>
      <c r="C29" s="16"/>
      <c r="D29" s="16"/>
      <c r="E29" s="16"/>
      <c r="F29" s="16"/>
      <c r="G29" s="16"/>
      <c r="H29" s="16"/>
      <c r="I29" s="5"/>
      <c r="J29" s="14"/>
      <c r="K29" s="14"/>
      <c r="L29" s="14"/>
      <c r="M29" s="14"/>
      <c r="N29" s="14"/>
      <c r="O29" s="14"/>
      <c r="P29" s="14"/>
      <c r="Q29" s="14"/>
      <c r="R29" s="14"/>
    </row>
  </sheetData>
  <mergeCells count="6">
    <mergeCell ref="A3:H3"/>
    <mergeCell ref="K3:R3"/>
    <mergeCell ref="A17:H17"/>
    <mergeCell ref="K17:R17"/>
    <mergeCell ref="A1:Q1"/>
    <mergeCell ref="A2:H2"/>
  </mergeCells>
  <phoneticPr fontId="2" type="noConversion"/>
  <pageMargins left="0.7" right="0.7" top="0.75" bottom="0.75" header="0.3" footer="0.3"/>
  <pageSetup paperSize="9" orientation="portrait" verticalDpi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벤치프레스</vt:lpstr>
      <vt:lpstr>데드리프트</vt:lpstr>
      <vt:lpstr>무게스쿼트</vt:lpstr>
      <vt:lpstr>턱걸이</vt:lpstr>
      <vt:lpstr>팔굽혀펴기</vt:lpstr>
      <vt:lpstr>밀리터리프레스</vt:lpstr>
      <vt:lpstr>숄더프레스</vt:lpstr>
      <vt:lpstr>레그익스텐션</vt:lpstr>
      <vt:lpstr>케이블크로스</vt:lpstr>
      <vt:lpstr>트라이셉스푸쉬다운</vt:lpstr>
      <vt:lpstr>리터럴레이즈</vt:lpstr>
      <vt:lpstr>덤벨컬</vt:lpstr>
      <vt:lpstr>스미스데드리프트</vt:lpstr>
      <vt:lpstr>바벨컬</vt:lpstr>
      <vt:lpstr>바벨로우</vt:lpstr>
      <vt:lpstr>랫풀다운</vt:lpstr>
      <vt:lpstr>무게런지</vt:lpstr>
      <vt:lpstr>레그프레스</vt:lpstr>
      <vt:lpstr>카프레이즈</vt:lpstr>
      <vt:lpstr>버핏테스트</vt:lpstr>
      <vt:lpstr>윗몸일으키기</vt:lpstr>
      <vt:lpstr>크런치</vt:lpstr>
      <vt:lpstr>바이시클메뉴버</vt:lpstr>
      <vt:lpstr>딥스</vt:lpstr>
      <vt:lpstr>기본표</vt:lpstr>
      <vt:lpstr>맨몸스쿼트</vt:lpstr>
      <vt:lpstr>점프런지</vt:lpstr>
      <vt:lpstr>플랭크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GT630</dc:creator>
  <cp:lastModifiedBy>Registered User</cp:lastModifiedBy>
  <cp:lastPrinted>2015-11-26T08:49:25Z</cp:lastPrinted>
  <dcterms:created xsi:type="dcterms:W3CDTF">2015-11-26T08:13:53Z</dcterms:created>
  <dcterms:modified xsi:type="dcterms:W3CDTF">2017-02-20T13:58:11Z</dcterms:modified>
</cp:coreProperties>
</file>