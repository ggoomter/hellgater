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7870"/>
  <workbookPr defaultThemeVersion="124226"/>
  <xr:revisionPtr revIDLastSave="0" documentId="FA722B947F0FED8E00C8DB9E451919C61A0DCB8E" xr6:coauthVersionLast="14" xr6:coauthVersionMax="14" xr10:uidLastSave="{00000000-0000-0000-0000-000000000000}"/>
  <bookViews>
    <workbookView xWindow="480" yWindow="120" windowWidth="22056" windowHeight="9240" xr2:uid="{00000000-000D-0000-FFFF-FFFF00000000}"/>
  </bookViews>
  <sheets>
    <sheet name="Sheet1" sheetId="1" r:id="rId1"/>
    <sheet name="Sheet2" sheetId="2" r:id="rId2"/>
    <sheet name="Sheet3" sheetId="3" r:id="rId3"/>
  </sheets>
  <calcPr calcId="171026"/>
</workbook>
</file>

<file path=xl/calcChain.xml><?xml version="1.0" encoding="utf-8"?>
<calcChain xmlns="http://schemas.openxmlformats.org/spreadsheetml/2006/main">
  <c r="P5" i="1" l="1"/>
  <c r="P6" i="1"/>
  <c r="Q15" i="1"/>
  <c r="R15" i="1"/>
  <c r="S15" i="1"/>
  <c r="T15" i="1"/>
  <c r="U15" i="1"/>
  <c r="V15" i="1"/>
  <c r="W15" i="1"/>
  <c r="X15" i="1"/>
  <c r="Y15" i="1"/>
  <c r="P15" i="1"/>
  <c r="Q11" i="1"/>
  <c r="R11" i="1"/>
  <c r="S11" i="1"/>
  <c r="T11" i="1"/>
  <c r="U11" i="1"/>
  <c r="V11" i="1"/>
  <c r="W11" i="1"/>
  <c r="X11" i="1"/>
  <c r="Y11" i="1"/>
  <c r="P11" i="1"/>
  <c r="C5" i="1"/>
  <c r="C6" i="1"/>
  <c r="D15" i="1"/>
  <c r="E11" i="1"/>
  <c r="I11" i="1"/>
  <c r="C11" i="1"/>
  <c r="K15" i="1"/>
  <c r="G15" i="1"/>
  <c r="L11" i="1"/>
  <c r="H11" i="1"/>
  <c r="D11" i="1"/>
  <c r="J15" i="1"/>
  <c r="F15" i="1"/>
  <c r="K11" i="1"/>
  <c r="G11" i="1"/>
  <c r="C15" i="1"/>
  <c r="I15" i="1"/>
  <c r="E15" i="1"/>
  <c r="J11" i="1"/>
  <c r="F11" i="1"/>
  <c r="L15" i="1"/>
  <c r="H15" i="1"/>
</calcChain>
</file>

<file path=xl/sharedStrings.xml><?xml version="1.0" encoding="utf-8"?>
<sst xmlns="http://schemas.openxmlformats.org/spreadsheetml/2006/main" count="76" uniqueCount="41">
  <si>
    <t>전투력 계산</t>
    <phoneticPr fontId="1" type="noConversion"/>
  </si>
  <si>
    <t>몸무게</t>
    <phoneticPr fontId="1" type="noConversion"/>
  </si>
  <si>
    <t>현재드는 무게</t>
    <phoneticPr fontId="1" type="noConversion"/>
  </si>
  <si>
    <t>현재드는 횟수</t>
    <phoneticPr fontId="1" type="noConversion"/>
  </si>
  <si>
    <t>추가중량</t>
    <phoneticPr fontId="1" type="noConversion"/>
  </si>
  <si>
    <t>최대무게</t>
    <phoneticPr fontId="1" type="noConversion"/>
  </si>
  <si>
    <t>최대반복횟수</t>
    <phoneticPr fontId="1" type="noConversion"/>
  </si>
  <si>
    <t>1RM</t>
    <phoneticPr fontId="1" type="noConversion"/>
  </si>
  <si>
    <t>2RM</t>
    <phoneticPr fontId="1" type="noConversion"/>
  </si>
  <si>
    <t>3RM</t>
    <phoneticPr fontId="1" type="noConversion"/>
  </si>
  <si>
    <t>4RM</t>
    <phoneticPr fontId="1" type="noConversion"/>
  </si>
  <si>
    <t>5RM</t>
    <phoneticPr fontId="1" type="noConversion"/>
  </si>
  <si>
    <t>6RM</t>
    <phoneticPr fontId="1" type="noConversion"/>
  </si>
  <si>
    <t>7RM</t>
    <phoneticPr fontId="1" type="noConversion"/>
  </si>
  <si>
    <t>8RM</t>
    <phoneticPr fontId="1" type="noConversion"/>
  </si>
  <si>
    <t>9RM</t>
    <phoneticPr fontId="1" type="noConversion"/>
  </si>
  <si>
    <t>10RM</t>
    <phoneticPr fontId="1" type="noConversion"/>
  </si>
  <si>
    <t>1RM과 비율</t>
    <phoneticPr fontId="1" type="noConversion"/>
  </si>
  <si>
    <t>11RM</t>
    <phoneticPr fontId="1" type="noConversion"/>
  </si>
  <si>
    <t>12RM</t>
    <phoneticPr fontId="1" type="noConversion"/>
  </si>
  <si>
    <t>13RM</t>
  </si>
  <si>
    <t>14RM</t>
  </si>
  <si>
    <t>15RM</t>
  </si>
  <si>
    <t>16RM</t>
  </si>
  <si>
    <t>17RM</t>
  </si>
  <si>
    <t>18RM</t>
  </si>
  <si>
    <t>19RM</t>
  </si>
  <si>
    <t>20RM</t>
  </si>
  <si>
    <t>적절무게</t>
    <phoneticPr fontId="1" type="noConversion"/>
  </si>
  <si>
    <t xml:space="preserve">예) </t>
    <phoneticPr fontId="1" type="noConversion"/>
  </si>
  <si>
    <t>1. 70KG 4회를 입력한다.</t>
    <phoneticPr fontId="1" type="noConversion"/>
  </si>
  <si>
    <t>2. 10RM이 61.6으로 계산된다.</t>
    <phoneticPr fontId="1" type="noConversion"/>
  </si>
  <si>
    <t>2. 76KG의 체중이 속하는 범위는 표의 왼쪽 체중의 75KG.</t>
    <phoneticPr fontId="1" type="noConversion"/>
  </si>
  <si>
    <t>3. 61.6을 가로75KG과 교차시키면 55 골드.</t>
    <phoneticPr fontId="1" type="noConversion"/>
  </si>
  <si>
    <t>예2)</t>
    <phoneticPr fontId="1" type="noConversion"/>
  </si>
  <si>
    <t>몸무게 76KG인 남자가 벤치프레스 70KG으로 4회했으면</t>
    <phoneticPr fontId="1" type="noConversion"/>
  </si>
  <si>
    <t>몸무게 61KG인 여자가 스쿼트 30kg로 17회 했다면</t>
    <phoneticPr fontId="1" type="noConversion"/>
  </si>
  <si>
    <t>1. 30kg 17회를 입력한다.</t>
    <phoneticPr fontId="1" type="noConversion"/>
  </si>
  <si>
    <t>표에넣으면 10RM이 34.2 나온다.</t>
    <phoneticPr fontId="1" type="noConversion"/>
  </si>
  <si>
    <t>몸무게 60 가로선과 교차시킨다.</t>
    <phoneticPr fontId="1" type="noConversion"/>
  </si>
  <si>
    <t>그럼 실버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</si>
</sst>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 tint="-4.9989318521683403E-2"/>
      <name val="맑은 고딕"/>
      <family val="2"/>
      <charset val="129"/>
      <scheme val="minor"/>
    </font>
    <font>
      <sz val="11"/>
      <color theme="0" tint="-4.9989318521683403E-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3" borderId="0" xfId="0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60960</xdr:rowOff>
    </xdr:from>
    <xdr:to>
      <xdr:col>8</xdr:col>
      <xdr:colOff>175260</xdr:colOff>
      <xdr:row>35</xdr:row>
      <xdr:rowOff>175260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01540"/>
          <a:ext cx="5539740" cy="3208020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20</xdr:row>
      <xdr:rowOff>213360</xdr:rowOff>
    </xdr:from>
    <xdr:to>
      <xdr:col>17</xdr:col>
      <xdr:colOff>610057</xdr:colOff>
      <xdr:row>32</xdr:row>
      <xdr:rowOff>30962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5551"/>
        <a:stretch/>
      </xdr:blipFill>
      <xdr:spPr>
        <a:xfrm>
          <a:off x="6743700" y="4632960"/>
          <a:ext cx="5265877" cy="24693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4"/>
  <sheetViews>
    <sheetView tabSelected="1" workbookViewId="0" xr3:uid="{AEA406A1-0E4B-5B11-9CD5-51D6E497D94C}">
      <selection activeCell="J18" sqref="J18"/>
    </sheetView>
  </sheetViews>
  <sheetFormatPr defaultRowHeight="16.5" x14ac:dyDescent="0.25"/>
  <sheetData>
    <row r="1" spans="1:2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N1" s="8" t="s">
        <v>0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x14ac:dyDescent="0.25">
      <c r="A2" s="9" t="s">
        <v>1</v>
      </c>
      <c r="B2" s="9"/>
      <c r="C2" s="4">
        <v>76</v>
      </c>
      <c r="N2" s="9" t="s">
        <v>1</v>
      </c>
      <c r="O2" s="9"/>
      <c r="P2" s="4">
        <v>61</v>
      </c>
    </row>
    <row r="3" spans="1:25" x14ac:dyDescent="0.25">
      <c r="A3" s="9" t="s">
        <v>2</v>
      </c>
      <c r="B3" s="9"/>
      <c r="C3" s="4">
        <v>70</v>
      </c>
      <c r="N3" s="9" t="s">
        <v>2</v>
      </c>
      <c r="O3" s="9"/>
      <c r="P3" s="4">
        <v>30</v>
      </c>
    </row>
    <row r="4" spans="1:25" x14ac:dyDescent="0.25">
      <c r="A4" s="9" t="s">
        <v>3</v>
      </c>
      <c r="B4" s="9"/>
      <c r="C4" s="4">
        <v>4</v>
      </c>
      <c r="N4" s="9" t="s">
        <v>3</v>
      </c>
      <c r="O4" s="9"/>
      <c r="P4" s="4">
        <v>17</v>
      </c>
    </row>
    <row r="5" spans="1:25" x14ac:dyDescent="0.25">
      <c r="A5" s="6" t="s">
        <v>4</v>
      </c>
      <c r="B5" s="7"/>
      <c r="C5" s="4">
        <f>C3*0.025*C4</f>
        <v>7</v>
      </c>
      <c r="N5" s="6" t="s">
        <v>4</v>
      </c>
      <c r="O5" s="7"/>
      <c r="P5" s="4">
        <f>P3*0.025*P4</f>
        <v>12.75</v>
      </c>
    </row>
    <row r="6" spans="1:25" x14ac:dyDescent="0.25">
      <c r="A6" s="7" t="s">
        <v>5</v>
      </c>
      <c r="B6" s="7"/>
      <c r="C6" s="5">
        <f>C3+C5</f>
        <v>77</v>
      </c>
      <c r="N6" s="7" t="s">
        <v>5</v>
      </c>
      <c r="O6" s="7"/>
      <c r="P6" s="5">
        <f>P3+P5</f>
        <v>42.75</v>
      </c>
    </row>
    <row r="9" spans="1:25" x14ac:dyDescent="0.25">
      <c r="A9" s="6" t="s">
        <v>6</v>
      </c>
      <c r="B9" s="7"/>
      <c r="C9" s="1" t="s">
        <v>7</v>
      </c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  <c r="I9" s="1" t="s">
        <v>13</v>
      </c>
      <c r="J9" s="1" t="s">
        <v>14</v>
      </c>
      <c r="K9" s="1" t="s">
        <v>15</v>
      </c>
      <c r="L9" s="2" t="s">
        <v>16</v>
      </c>
      <c r="N9" s="6" t="s">
        <v>6</v>
      </c>
      <c r="O9" s="7"/>
      <c r="P9" s="1" t="s">
        <v>7</v>
      </c>
      <c r="Q9" s="1" t="s">
        <v>8</v>
      </c>
      <c r="R9" s="1" t="s">
        <v>9</v>
      </c>
      <c r="S9" s="1" t="s">
        <v>10</v>
      </c>
      <c r="T9" s="1" t="s">
        <v>11</v>
      </c>
      <c r="U9" s="1" t="s">
        <v>12</v>
      </c>
      <c r="V9" s="1" t="s">
        <v>13</v>
      </c>
      <c r="W9" s="1" t="s">
        <v>14</v>
      </c>
      <c r="X9" s="1" t="s">
        <v>15</v>
      </c>
      <c r="Y9" s="2" t="s">
        <v>16</v>
      </c>
    </row>
    <row r="10" spans="1:25" x14ac:dyDescent="0.25">
      <c r="A10" s="7" t="s">
        <v>17</v>
      </c>
      <c r="B10" s="7"/>
      <c r="C10">
        <v>1</v>
      </c>
      <c r="D10">
        <v>0.95</v>
      </c>
      <c r="E10">
        <v>0.9</v>
      </c>
      <c r="F10">
        <v>0.87</v>
      </c>
      <c r="G10">
        <v>0.85</v>
      </c>
      <c r="H10">
        <v>0.84</v>
      </c>
      <c r="I10">
        <v>0.83</v>
      </c>
      <c r="J10">
        <v>0.82</v>
      </c>
      <c r="K10">
        <v>0.81</v>
      </c>
      <c r="L10" s="3">
        <v>0.8</v>
      </c>
      <c r="N10" s="7" t="s">
        <v>17</v>
      </c>
      <c r="O10" s="7"/>
      <c r="P10">
        <v>1</v>
      </c>
      <c r="Q10">
        <v>0.95</v>
      </c>
      <c r="R10">
        <v>0.9</v>
      </c>
      <c r="S10">
        <v>0.87</v>
      </c>
      <c r="T10">
        <v>0.85</v>
      </c>
      <c r="U10">
        <v>0.84</v>
      </c>
      <c r="V10">
        <v>0.83</v>
      </c>
      <c r="W10">
        <v>0.82</v>
      </c>
      <c r="X10">
        <v>0.81</v>
      </c>
      <c r="Y10" s="3">
        <v>0.8</v>
      </c>
    </row>
    <row r="11" spans="1:25" x14ac:dyDescent="0.25">
      <c r="A11" s="7" t="s">
        <v>28</v>
      </c>
      <c r="B11" s="7"/>
      <c r="C11">
        <f>$C$6*C10</f>
        <v>77</v>
      </c>
      <c r="D11">
        <f t="shared" ref="D11:L11" si="0">$C$6*D10</f>
        <v>73.149999999999991</v>
      </c>
      <c r="E11">
        <f t="shared" si="0"/>
        <v>69.3</v>
      </c>
      <c r="F11">
        <f t="shared" si="0"/>
        <v>66.989999999999995</v>
      </c>
      <c r="G11">
        <f t="shared" si="0"/>
        <v>65.45</v>
      </c>
      <c r="H11">
        <f t="shared" si="0"/>
        <v>64.679999999999993</v>
      </c>
      <c r="I11">
        <f t="shared" si="0"/>
        <v>63.91</v>
      </c>
      <c r="J11">
        <f t="shared" si="0"/>
        <v>63.139999999999993</v>
      </c>
      <c r="K11">
        <f t="shared" si="0"/>
        <v>62.370000000000005</v>
      </c>
      <c r="L11" s="3">
        <f t="shared" si="0"/>
        <v>61.6</v>
      </c>
      <c r="N11" s="7" t="s">
        <v>28</v>
      </c>
      <c r="O11" s="7"/>
      <c r="P11">
        <f>$P$6*P10</f>
        <v>42.75</v>
      </c>
      <c r="Q11">
        <f t="shared" ref="Q11:Y11" si="1">$P$6*Q10</f>
        <v>40.612499999999997</v>
      </c>
      <c r="R11">
        <f t="shared" si="1"/>
        <v>38.475000000000001</v>
      </c>
      <c r="S11">
        <f t="shared" si="1"/>
        <v>37.192500000000003</v>
      </c>
      <c r="T11">
        <f t="shared" si="1"/>
        <v>36.337499999999999</v>
      </c>
      <c r="U11">
        <f t="shared" si="1"/>
        <v>35.909999999999997</v>
      </c>
      <c r="V11">
        <f t="shared" si="1"/>
        <v>35.482500000000002</v>
      </c>
      <c r="W11">
        <f t="shared" si="1"/>
        <v>35.055</v>
      </c>
      <c r="X11">
        <f t="shared" si="1"/>
        <v>34.627500000000005</v>
      </c>
      <c r="Y11">
        <f t="shared" si="1"/>
        <v>34.200000000000003</v>
      </c>
    </row>
    <row r="13" spans="1:25" x14ac:dyDescent="0.25">
      <c r="A13" s="6" t="s">
        <v>6</v>
      </c>
      <c r="B13" s="7"/>
      <c r="C13" s="1" t="s">
        <v>18</v>
      </c>
      <c r="D13" s="1" t="s">
        <v>19</v>
      </c>
      <c r="E13" s="1" t="s">
        <v>20</v>
      </c>
      <c r="F13" s="1" t="s">
        <v>21</v>
      </c>
      <c r="G13" s="1" t="s">
        <v>22</v>
      </c>
      <c r="H13" s="1" t="s">
        <v>23</v>
      </c>
      <c r="I13" s="1" t="s">
        <v>24</v>
      </c>
      <c r="J13" s="1" t="s">
        <v>25</v>
      </c>
      <c r="K13" s="1" t="s">
        <v>26</v>
      </c>
      <c r="L13" s="1" t="s">
        <v>27</v>
      </c>
      <c r="N13" s="6" t="s">
        <v>6</v>
      </c>
      <c r="O13" s="7"/>
      <c r="P13" s="1" t="s">
        <v>18</v>
      </c>
      <c r="Q13" s="1" t="s">
        <v>19</v>
      </c>
      <c r="R13" s="1" t="s">
        <v>20</v>
      </c>
      <c r="S13" s="1" t="s">
        <v>21</v>
      </c>
      <c r="T13" s="1" t="s">
        <v>22</v>
      </c>
      <c r="U13" s="1" t="s">
        <v>23</v>
      </c>
      <c r="V13" s="1" t="s">
        <v>24</v>
      </c>
      <c r="W13" s="1" t="s">
        <v>25</v>
      </c>
      <c r="X13" s="1" t="s">
        <v>26</v>
      </c>
      <c r="Y13" s="1" t="s">
        <v>27</v>
      </c>
    </row>
    <row r="14" spans="1:25" x14ac:dyDescent="0.25">
      <c r="A14" s="7" t="s">
        <v>17</v>
      </c>
      <c r="B14" s="7"/>
      <c r="C14">
        <v>0.79</v>
      </c>
      <c r="D14">
        <v>0.78</v>
      </c>
      <c r="E14">
        <v>0.77</v>
      </c>
      <c r="F14">
        <v>0.76</v>
      </c>
      <c r="G14">
        <v>0.75</v>
      </c>
      <c r="H14">
        <v>0.74</v>
      </c>
      <c r="I14">
        <v>0.73</v>
      </c>
      <c r="J14">
        <v>0.72</v>
      </c>
      <c r="K14">
        <v>0.71</v>
      </c>
      <c r="L14">
        <v>0.7</v>
      </c>
      <c r="N14" s="7" t="s">
        <v>17</v>
      </c>
      <c r="O14" s="7"/>
      <c r="P14">
        <v>0.79</v>
      </c>
      <c r="Q14">
        <v>0.78</v>
      </c>
      <c r="R14">
        <v>0.77</v>
      </c>
      <c r="S14">
        <v>0.76</v>
      </c>
      <c r="T14">
        <v>0.75</v>
      </c>
      <c r="U14">
        <v>0.74</v>
      </c>
      <c r="V14">
        <v>0.73</v>
      </c>
      <c r="W14">
        <v>0.72</v>
      </c>
      <c r="X14">
        <v>0.71</v>
      </c>
      <c r="Y14">
        <v>0.7</v>
      </c>
    </row>
    <row r="15" spans="1:25" x14ac:dyDescent="0.25">
      <c r="A15" s="7" t="s">
        <v>28</v>
      </c>
      <c r="B15" s="7"/>
      <c r="C15">
        <f>$C$6*C14</f>
        <v>60.830000000000005</v>
      </c>
      <c r="D15">
        <f t="shared" ref="D15:L15" si="2">$C$6*D14</f>
        <v>60.06</v>
      </c>
      <c r="E15">
        <f t="shared" si="2"/>
        <v>59.29</v>
      </c>
      <c r="F15">
        <f t="shared" si="2"/>
        <v>58.52</v>
      </c>
      <c r="G15">
        <f t="shared" si="2"/>
        <v>57.75</v>
      </c>
      <c r="H15">
        <f t="shared" si="2"/>
        <v>56.98</v>
      </c>
      <c r="I15">
        <f t="shared" si="2"/>
        <v>56.21</v>
      </c>
      <c r="J15">
        <f t="shared" si="2"/>
        <v>55.44</v>
      </c>
      <c r="K15">
        <f t="shared" si="2"/>
        <v>54.669999999999995</v>
      </c>
      <c r="L15">
        <f t="shared" si="2"/>
        <v>53.9</v>
      </c>
      <c r="N15" s="7" t="s">
        <v>28</v>
      </c>
      <c r="O15" s="7"/>
      <c r="P15">
        <f>$P$6*P14</f>
        <v>33.772500000000001</v>
      </c>
      <c r="Q15">
        <f t="shared" ref="Q15:Y15" si="3">$P$6*Q14</f>
        <v>33.344999999999999</v>
      </c>
      <c r="R15">
        <f t="shared" si="3"/>
        <v>32.917500000000004</v>
      </c>
      <c r="S15">
        <f t="shared" si="3"/>
        <v>32.49</v>
      </c>
      <c r="T15">
        <f t="shared" si="3"/>
        <v>32.0625</v>
      </c>
      <c r="U15">
        <f t="shared" si="3"/>
        <v>31.634999999999998</v>
      </c>
      <c r="V15">
        <f t="shared" si="3"/>
        <v>31.2075</v>
      </c>
      <c r="W15">
        <f t="shared" si="3"/>
        <v>30.779999999999998</v>
      </c>
      <c r="X15">
        <f t="shared" si="3"/>
        <v>30.352499999999999</v>
      </c>
      <c r="Y15">
        <f t="shared" si="3"/>
        <v>29.924999999999997</v>
      </c>
    </row>
    <row r="18" spans="1:12" x14ac:dyDescent="0.25">
      <c r="A18" t="s">
        <v>29</v>
      </c>
      <c r="B18" t="s">
        <v>35</v>
      </c>
      <c r="K18" t="s">
        <v>34</v>
      </c>
      <c r="L18" t="s">
        <v>36</v>
      </c>
    </row>
    <row r="19" spans="1:12" x14ac:dyDescent="0.25">
      <c r="B19" t="s">
        <v>30</v>
      </c>
      <c r="E19" t="s">
        <v>31</v>
      </c>
      <c r="L19" t="s">
        <v>38</v>
      </c>
    </row>
    <row r="20" spans="1:12" x14ac:dyDescent="0.25">
      <c r="B20" t="s">
        <v>32</v>
      </c>
      <c r="L20" t="s">
        <v>39</v>
      </c>
    </row>
    <row r="21" spans="1:12" x14ac:dyDescent="0.25">
      <c r="B21" t="s">
        <v>33</v>
      </c>
      <c r="L21" t="s">
        <v>40</v>
      </c>
    </row>
    <row r="34" spans="11:11" x14ac:dyDescent="0.25">
      <c r="K34" t="s">
        <v>37</v>
      </c>
    </row>
  </sheetData>
  <mergeCells count="24">
    <mergeCell ref="A1:L1"/>
    <mergeCell ref="A9:B9"/>
    <mergeCell ref="A10:B10"/>
    <mergeCell ref="A11:B11"/>
    <mergeCell ref="A13:B13"/>
    <mergeCell ref="A15:B15"/>
    <mergeCell ref="A2:B2"/>
    <mergeCell ref="A3:B3"/>
    <mergeCell ref="A4:B4"/>
    <mergeCell ref="A5:B5"/>
    <mergeCell ref="A6:B6"/>
    <mergeCell ref="A14:B14"/>
    <mergeCell ref="N15:O15"/>
    <mergeCell ref="N1:Y1"/>
    <mergeCell ref="N2:O2"/>
    <mergeCell ref="N3:O3"/>
    <mergeCell ref="N4:O4"/>
    <mergeCell ref="N5:O5"/>
    <mergeCell ref="N6:O6"/>
    <mergeCell ref="N9:O9"/>
    <mergeCell ref="N10:O10"/>
    <mergeCell ref="N11:O11"/>
    <mergeCell ref="N13:O13"/>
    <mergeCell ref="N14:O14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 xr3:uid="{958C4451-9541-5A59-BF78-D2F731DF1C81}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 xr3:uid="{842E5F09-E766-5B8D-85AF-A39847EA96FD}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Universal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Registered User</cp:lastModifiedBy>
  <dcterms:created xsi:type="dcterms:W3CDTF">2017-03-01T12:07:21Z</dcterms:created>
  <dcterms:modified xsi:type="dcterms:W3CDTF">2017-03-01T12:29:00Z</dcterms:modified>
</cp:coreProperties>
</file>